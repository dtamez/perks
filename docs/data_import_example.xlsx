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3.xml.rels" ContentType="application/vnd.openxmlformats-package.relationships+xml"/>
  <Override PartName="/xl/worksheets/_rels/sheet26.xml.rels" ContentType="application/vnd.openxmlformats-package.relationships+xml"/>
  <Override PartName="/xl/worksheets/_rels/sheet17.xml.rels" ContentType="application/vnd.openxmlformats-package.relationships+xml"/>
  <Override PartName="/xl/worksheets/_rels/sheet39.xml.rels" ContentType="application/vnd.openxmlformats-package.relationships+xml"/>
  <Override PartName="/xl/worksheets/_rels/sheet25.xml.rels" ContentType="application/vnd.openxmlformats-package.relationships+xml"/>
  <Override PartName="/xl/worksheets/_rels/sheet16.xml.rels" ContentType="application/vnd.openxmlformats-package.relationship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18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9.xml.rels" ContentType="application/vnd.openxmlformats-package.relationships+xml"/>
  <Override PartName="/xl/worksheets/_rels/sheet31.xml.rels" ContentType="application/vnd.openxmlformats-package.relationships+xml"/>
  <Override PartName="/xl/worksheets/_rels/sheet20.xml.rels" ContentType="application/vnd.openxmlformats-package.relationships+xml"/>
  <Override PartName="/xl/worksheets/_rels/sheet3.xml.rels" ContentType="application/vnd.openxmlformats-package.relationships+xml"/>
  <Override PartName="/xl/worksheets/_rels/sheet27.xml.rels" ContentType="application/vnd.openxmlformats-package.relationships+xml"/>
  <Override PartName="/xl/worksheets/_rels/sheet32.xml.rels" ContentType="application/vnd.openxmlformats-package.relationships+xml"/>
  <Override PartName="/xl/worksheets/_rels/sheet21.xml.rels" ContentType="application/vnd.openxmlformats-package.relationships+xml"/>
  <Override PartName="/xl/worksheets/_rels/sheet28.xml.rels" ContentType="application/vnd.openxmlformats-package.relationships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Locations" sheetId="1" state="visible" r:id="rId2"/>
    <sheet name="Carriers" sheetId="2" state="visible" r:id="rId3"/>
    <sheet name="Employees" sheetId="3" state="visible" r:id="rId4"/>
    <sheet name="Admins" sheetId="4" state="visible" r:id="rId5"/>
    <sheet name="Dependents" sheetId="5" state="visible" r:id="rId6"/>
    <sheet name="Beneficiaries" sheetId="6" state="visible" r:id="rId7"/>
    <sheet name="Medical Plans" sheetId="7" state="visible" r:id="rId8"/>
    <sheet name="Dental Plans" sheetId="8" state="visible" r:id="rId9"/>
    <sheet name="Vision Plans" sheetId="9" state="visible" r:id="rId10"/>
    <sheet name="Medical with Dental Bundle Plans" sheetId="10" state="visible" r:id="rId11"/>
    <sheet name="Medical with Vision Bundle Plans" sheetId="11" state="visible" r:id="rId12"/>
    <sheet name="Medical with Dental and Vision Bundle Plans" sheetId="12" state="visible" r:id="rId13"/>
    <sheet name="Dental with Vision Bundle Plans" sheetId="13" state="visible" r:id="rId14"/>
    <sheet name="Basic Life Plans" sheetId="14" state="visible" r:id="rId15"/>
    <sheet name="Employee Voluntary Life Plans" sheetId="15" state="visible" r:id="rId16"/>
    <sheet name="Spouse Voluntary Life Plans" sheetId="16" state="visible" r:id="rId17"/>
    <sheet name="Child Voluntary Life Plans" sheetId="17" state="visible" r:id="rId18"/>
    <sheet name="Standalone ADD Plans" sheetId="18" state="visible" r:id="rId19"/>
    <sheet name="Whole Life Plans" sheetId="19" state="visible" r:id="rId20"/>
    <sheet name="Universal Life Plans" sheetId="20" state="visible" r:id="rId21"/>
    <sheet name="LTD Plans" sheetId="21" state="visible" r:id="rId22"/>
    <sheet name="Voluntary LTD Plans" sheetId="22" state="visible" r:id="rId23"/>
    <sheet name="STD Plans" sheetId="23" state="visible" r:id="rId24"/>
    <sheet name="Voluntary STD Plans" sheetId="24" state="visible" r:id="rId25"/>
    <sheet name="FSA Medical Spending Plan" sheetId="25" state="visible" r:id="rId26"/>
    <sheet name="FSA Dependent Care Spending Plan" sheetId="26" state="visible" r:id="rId27"/>
    <sheet name="HSA Plan" sheetId="27" state="visible" r:id="rId28"/>
    <sheet name="HRA Plan" sheetId="28" state="visible" r:id="rId29"/>
    <sheet name="401K Plan" sheetId="29" state="visible" r:id="rId30"/>
    <sheet name="EAP Plans" sheetId="30" state="visible" r:id="rId31"/>
    <sheet name="Long Term Care Plans" sheetId="31" state="visible" r:id="rId32"/>
    <sheet name="Critical Illness Plans" sheetId="32" state="visible" r:id="rId33"/>
    <sheet name="Cancer Plans" sheetId="33" state="visible" r:id="rId34"/>
    <sheet name="Accident Plans" sheetId="34" state="visible" r:id="rId35"/>
    <sheet name="Hospital Confinement Plans" sheetId="35" state="visible" r:id="rId36"/>
    <sheet name="Parking and Transit Plans" sheetId="36" state="visible" r:id="rId37"/>
    <sheet name="Identity Theft Plans" sheetId="37" state="visible" r:id="rId38"/>
    <sheet name="Enrollments" sheetId="38" state="visible" r:id="rId39"/>
    <sheet name="Field Type Values" sheetId="39" state="visible" r:id="rId40"/>
  </sheets>
  <definedNames>
    <definedName function="false" hidden="false" name="Beneficiary_Types" vbProcedure="false">'Field Type Values'!$F$2:$F$3</definedName>
    <definedName function="false" hidden="false" name="Billing_Type" vbProcedure="false">'Field Type Values'!$J$2:$J$3</definedName>
    <definedName function="false" hidden="false" name="Boolean" vbProcedure="false">'Field Type Values'!$A$2:$A$3</definedName>
    <definedName function="false" hidden="false" name="Carriers" vbProcedure="false">Carriers!$A$2:$A$1048576</definedName>
    <definedName function="false" hidden="false" name="Dependent_Types" vbProcedure="false">'Field Type Values'!$G$2:$G$6</definedName>
    <definedName function="false" hidden="false" name="Employee_Numbers" vbProcedure="false">Employees!$A$2:$A$1048576</definedName>
    <definedName function="false" hidden="false" name="Genders" vbProcedure="false">'Field Type Values'!$C$2:$C$3</definedName>
    <definedName function="false" hidden="false" name="Locations" vbProcedure="false">Locations!$A$2:$A$1048576</definedName>
    <definedName function="false" hidden="false" name="Marital_Statuses" vbProcedure="false">'Field Type Values'!$D$2:$D$5</definedName>
    <definedName function="false" hidden="false" name="Martital_Statuses" vbProcedure="false">'Field Type Values'!$D$2:$D$5</definedName>
    <definedName function="false" hidden="false" name="Plan_Termination_Timings" vbProcedure="false">'Field Type Values'!$I$2:$I$4</definedName>
    <definedName function="false" hidden="false" name="Salary_Modes" vbProcedure="false">'Field Type Values'!$H$2:$H$7</definedName>
    <definedName function="false" hidden="false" name="Smoker_Statuses" vbProcedure="false">'Field Type Values'!$E$2:$E$3</definedName>
    <definedName function="false" hidden="false" name="States" vbProcedure="false">'Field Type Values'!$B$2:$B$51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<sst xmlns="http://schemas.openxmlformats.org/spreadsheetml/2006/main" count="936" uniqueCount="321">
  <si>
    <t xml:space="preserve">code</t>
  </si>
  <si>
    <t xml:space="preserve">description</t>
  </si>
  <si>
    <t xml:space="preserve">effective date</t>
  </si>
  <si>
    <t xml:space="preserve">ROW</t>
  </si>
  <si>
    <t xml:space="preserve">Rowlett TX office</t>
  </si>
  <si>
    <t xml:space="preserve">HOU</t>
  </si>
  <si>
    <t xml:space="preserve">Houston downtown</t>
  </si>
  <si>
    <t xml:space="preserve">HOU2</t>
  </si>
  <si>
    <t xml:space="preserve">Houston tollway office</t>
  </si>
  <si>
    <t xml:space="preserve">DAL</t>
  </si>
  <si>
    <t xml:space="preserve">Dallas main office</t>
  </si>
  <si>
    <t xml:space="preserve">DAL-S</t>
  </si>
  <si>
    <t xml:space="preserve">South Dallas office</t>
  </si>
  <si>
    <t xml:space="preserve">DAL-E</t>
  </si>
  <si>
    <t xml:space="preserve">East Dallas office</t>
  </si>
  <si>
    <t xml:space="preserve">name</t>
  </si>
  <si>
    <t xml:space="preserve">phone</t>
  </si>
  <si>
    <t xml:space="preserve">api_endpoint</t>
  </si>
  <si>
    <t xml:space="preserve">Aetna</t>
  </si>
  <si>
    <t xml:space="preserve">http://api.aetna.com</t>
  </si>
  <si>
    <t xml:space="preserve">Retina</t>
  </si>
  <si>
    <t xml:space="preserve">http://api.retina.com</t>
  </si>
  <si>
    <t xml:space="preserve">United Health Care</t>
  </si>
  <si>
    <t xml:space="preserve">409-888-1717</t>
  </si>
  <si>
    <t xml:space="preserve">http://api.unitedhealtch.com</t>
  </si>
  <si>
    <t xml:space="preserve">employee number</t>
  </si>
  <si>
    <t xml:space="preserve">location code</t>
  </si>
  <si>
    <t xml:space="preserve">first name</t>
  </si>
  <si>
    <t xml:space="preserve">middle name</t>
  </si>
  <si>
    <t xml:space="preserve">last name</t>
  </si>
  <si>
    <t xml:space="preserve">ssn</t>
  </si>
  <si>
    <t xml:space="preserve">dob</t>
  </si>
  <si>
    <t xml:space="preserve">gender</t>
  </si>
  <si>
    <t xml:space="preserve">marital status</t>
  </si>
  <si>
    <t xml:space="preserve">spouse dob</t>
  </si>
  <si>
    <t xml:space="preserve">smoker type</t>
  </si>
  <si>
    <t xml:space="preserve">spouse smoker type</t>
  </si>
  <si>
    <t xml:space="preserve">street1</t>
  </si>
  <si>
    <t xml:space="preserve">street2</t>
  </si>
  <si>
    <t xml:space="preserve">city</t>
  </si>
  <si>
    <t xml:space="preserve">state</t>
  </si>
  <si>
    <t xml:space="preserve">zip</t>
  </si>
  <si>
    <t xml:space="preserve">username</t>
  </si>
  <si>
    <t xml:space="preserve">password</t>
  </si>
  <si>
    <t xml:space="preserve">email</t>
  </si>
  <si>
    <t xml:space="preserve">active</t>
  </si>
  <si>
    <t xml:space="preserve">hire date</t>
  </si>
  <si>
    <t xml:space="preserve">termination date</t>
  </si>
  <si>
    <t xml:space="preserve">group id</t>
  </si>
  <si>
    <t xml:space="preserve">sub group id</t>
  </si>
  <si>
    <t xml:space="preserve">sub group effective date</t>
  </si>
  <si>
    <t xml:space="preserve">salary</t>
  </si>
  <si>
    <t xml:space="preserve">salary mode</t>
  </si>
  <si>
    <t xml:space="preserve">salary effective date</t>
  </si>
  <si>
    <t xml:space="preserve">alternate phone</t>
  </si>
  <si>
    <t xml:space="preserve">emergency contact name</t>
  </si>
  <si>
    <t xml:space="preserve">emergency contact relationship</t>
  </si>
  <si>
    <t xml:space="preserve">emergency contact phone</t>
  </si>
  <si>
    <t xml:space="preserve">Billy</t>
  </si>
  <si>
    <t xml:space="preserve">Joe</t>
  </si>
  <si>
    <t xml:space="preserve">Bob</t>
  </si>
  <si>
    <t xml:space="preserve">male</t>
  </si>
  <si>
    <t xml:space="preserve">married</t>
  </si>
  <si>
    <t xml:space="preserve">non-smoker</t>
  </si>
  <si>
    <t xml:space="preserve">718 South Arrow</t>
  </si>
  <si>
    <t xml:space="preserve">Dallas</t>
  </si>
  <si>
    <t xml:space="preserve">TX</t>
  </si>
  <si>
    <t xml:space="preserve">billybob</t>
  </si>
  <si>
    <t xml:space="preserve">billy@bob.com</t>
  </si>
  <si>
    <t xml:space="preserve">yes</t>
  </si>
  <si>
    <t xml:space="preserve">G123</t>
  </si>
  <si>
    <t xml:space="preserve">SG456</t>
  </si>
  <si>
    <t xml:space="preserve">annually</t>
  </si>
  <si>
    <t xml:space="preserve">Barbara Bob</t>
  </si>
  <si>
    <t xml:space="preserve">Spouse</t>
  </si>
  <si>
    <t xml:space="preserve">Sally</t>
  </si>
  <si>
    <t xml:space="preserve">Kay</t>
  </si>
  <si>
    <t xml:space="preserve">Smith</t>
  </si>
  <si>
    <t xml:space="preserve">female</t>
  </si>
  <si>
    <t xml:space="preserve">2899 Spurned</t>
  </si>
  <si>
    <t xml:space="preserve">sallysmith</t>
  </si>
  <si>
    <t xml:space="preserve">sally@smith.com</t>
  </si>
  <si>
    <t xml:space="preserve">Joanna Smith</t>
  </si>
  <si>
    <t xml:space="preserve">Friend</t>
  </si>
  <si>
    <t xml:space="preserve">Randall</t>
  </si>
  <si>
    <t xml:space="preserve">Mills</t>
  </si>
  <si>
    <t xml:space="preserve">smoker</t>
  </si>
  <si>
    <t xml:space="preserve">2388 Shepherd Land</t>
  </si>
  <si>
    <t xml:space="preserve">randallmills</t>
  </si>
  <si>
    <t xml:space="preserve">randall@mills.com</t>
  </si>
  <si>
    <t xml:space="preserve">Haley Mills</t>
  </si>
  <si>
    <t xml:space="preserve">employee_number</t>
  </si>
  <si>
    <t xml:space="preserve">willywonka</t>
  </si>
  <si>
    <t xml:space="preserve">wonka</t>
  </si>
  <si>
    <t xml:space="preserve">mills</t>
  </si>
  <si>
    <t xml:space="preserve">dependent type</t>
  </si>
  <si>
    <t xml:space="preserve">social security number</t>
  </si>
  <si>
    <t xml:space="preserve">date of birth</t>
  </si>
  <si>
    <t xml:space="preserve">full time student</t>
  </si>
  <si>
    <t xml:space="preserve">disabled</t>
  </si>
  <si>
    <t xml:space="preserve">disability date</t>
  </si>
  <si>
    <t xml:space="preserve">same address as employee</t>
  </si>
  <si>
    <t xml:space="preserve">daughter</t>
  </si>
  <si>
    <t xml:space="preserve">Darla</t>
  </si>
  <si>
    <t xml:space="preserve">Rae</t>
  </si>
  <si>
    <t xml:space="preserve">single</t>
  </si>
  <si>
    <t xml:space="preserve">no</t>
  </si>
  <si>
    <t xml:space="preserve">Karla</t>
  </si>
  <si>
    <t xml:space="preserve">Fae</t>
  </si>
  <si>
    <t xml:space="preserve">son</t>
  </si>
  <si>
    <t xml:space="preserve">Silly</t>
  </si>
  <si>
    <t xml:space="preserve">Schmoe</t>
  </si>
  <si>
    <t xml:space="preserve">2101 Alligator Lane</t>
  </si>
  <si>
    <t xml:space="preserve">Apt 211</t>
  </si>
  <si>
    <t xml:space="preserve">Snow</t>
  </si>
  <si>
    <t xml:space="preserve">White</t>
  </si>
  <si>
    <t xml:space="preserve">beneficary type</t>
  </si>
  <si>
    <t xml:space="preserve">primary</t>
  </si>
  <si>
    <t xml:space="preserve"> </t>
  </si>
  <si>
    <t xml:space="preserve">plan name</t>
  </si>
  <si>
    <t xml:space="preserve">carrier name</t>
  </si>
  <si>
    <t xml:space="preserve">cust service phone</t>
  </si>
  <si>
    <t xml:space="preserve">website</t>
  </si>
  <si>
    <t xml:space="preserve">flat amount of premium paid by employer</t>
  </si>
  <si>
    <t xml:space="preserve">percentage of premium paid by employer</t>
  </si>
  <si>
    <t xml:space="preserve">premium matrix</t>
  </si>
  <si>
    <t xml:space="preserve">group number</t>
  </si>
  <si>
    <t xml:space="preserve">original effective date</t>
  </si>
  <si>
    <t xml:space="preserve">renewal date</t>
  </si>
  <si>
    <t xml:space="preserve">list billed or self billed</t>
  </si>
  <si>
    <t xml:space="preserve">doctor selection required</t>
  </si>
  <si>
    <t xml:space="preserve">cobra eligible</t>
  </si>
  <si>
    <t xml:space="preserve">pre tax</t>
  </si>
  <si>
    <t xml:space="preserve">plan termination timing</t>
  </si>
  <si>
    <t xml:space="preserve">A701</t>
  </si>
  <si>
    <t xml:space="preserve">Aetna Medical</t>
  </si>
  <si>
    <t xml:space="preserve">https://www.aetna.com</t>
  </si>
  <si>
    <t xml:space="preserve">employee_only,$250
employee_and_spouse,$300 
employee_and_children,$300 
employee_and_family,$350</t>
  </si>
  <si>
    <t xml:space="preserve">G23487</t>
  </si>
  <si>
    <t xml:space="preserve">list billed</t>
  </si>
  <si>
    <t xml:space="preserve">same_day</t>
  </si>
  <si>
    <t xml:space="preserve">A778</t>
  </si>
  <si>
    <t xml:space="preserve">Aetna Medical Gold</t>
  </si>
  <si>
    <t xml:space="preserve">employee_only,$200
employee_and_spouse,$250
employee_and_children,$250
employee_and_family,$300</t>
  </si>
  <si>
    <t xml:space="preserve">self billed</t>
  </si>
  <si>
    <t xml:space="preserve">last_day_of_the_month</t>
  </si>
  <si>
    <t xml:space="preserve">A77D</t>
  </si>
  <si>
    <t xml:space="preserve">Aetna Dental</t>
  </si>
  <si>
    <t xml:space="preserve">employee_only,$100
employee_and_spouse,$150
employee_and_children,$150
employee_and_family,$200
</t>
  </si>
  <si>
    <t xml:space="preserve">A77V</t>
  </si>
  <si>
    <t xml:space="preserve">Aetna Vision</t>
  </si>
  <si>
    <t xml:space="preserve">minimum benefit</t>
  </si>
  <si>
    <t xml:space="preserve">maximum benefit</t>
  </si>
  <si>
    <t xml:space="preserve">multiple of salary paid</t>
  </si>
  <si>
    <t xml:space="preserve">spouse benefit amount</t>
  </si>
  <si>
    <t xml:space="preserve">child benefit amount</t>
  </si>
  <si>
    <t xml:space="preserve">guarantee issue</t>
  </si>
  <si>
    <t xml:space="preserve">benefit reduction amounts by age</t>
  </si>
  <si>
    <t xml:space="preserve">additional multiple of salary paid as benefit for accidental death</t>
  </si>
  <si>
    <t xml:space="preserve">additional multiple of salary paid as benefit for accidental dismemberment</t>
  </si>
  <si>
    <t xml:space="preserve">LADD7823</t>
  </si>
  <si>
    <t xml:space="preserve">Basic Life and Accidental Death and Dismemberment</t>
  </si>
  <si>
    <t xml:space="preserve">http://add.aetna.com</t>
  </si>
  <si>
    <t xml:space="preserve">0-24,2.81%
25-29,2.81%
30-34,3.69%
35-39,4.98%
40-44,5.63%
45-49,8.91%
50-54,14.17%
55-59,27.23%
60-64,42.32%
65-69,82.29%
70-74,134.08%
75+,134.08%</t>
  </si>
  <si>
    <t xml:space="preserve">65, .35
70, .5</t>
  </si>
  <si>
    <t xml:space="preserve">coverage increments</t>
  </si>
  <si>
    <t xml:space="preserve">minimum election</t>
  </si>
  <si>
    <t xml:space="preserve">maximum election</t>
  </si>
  <si>
    <t xml:space="preserve">VLADD7823</t>
  </si>
  <si>
    <t xml:space="preserve">Employee Voluntary Life</t>
  </si>
  <si>
    <t xml:space="preserve">use employee’s age for spouse’s age band</t>
  </si>
  <si>
    <t xml:space="preserve">Spouse Voluntary Life</t>
  </si>
  <si>
    <t xml:space="preserve">VLADDC7823</t>
  </si>
  <si>
    <t xml:space="preserve">Child Voluntary Life</t>
  </si>
  <si>
    <t xml:space="preserve">0-24,1.40%
25-29,1.40%
30-34,1.85%
35-39,2.49%
40-44,2.82%
45-49,4.45%
50-54,7.08%
55-59,13.62%
60-64,21.16%
65-69,41.15%
70-74,67.04%
75+,67.04%</t>
  </si>
  <si>
    <t xml:space="preserve">Accidental Death and Dismemberment</t>
  </si>
  <si>
    <t xml:space="preserve">percent of salary paid out</t>
  </si>
  <si>
    <t xml:space="preserve">max_monthly_benefit</t>
  </si>
  <si>
    <t xml:space="preserve">LTD7823</t>
  </si>
  <si>
    <t xml:space="preserve">Long Term Disability Plan</t>
  </si>
  <si>
    <t xml:space="preserve">https://ltd.com</t>
  </si>
  <si>
    <t xml:space="preserve">LTD7824</t>
  </si>
  <si>
    <t xml:space="preserve">Long Term Disability Plan (Aetna)</t>
  </si>
  <si>
    <t xml:space="preserve">http://ltd.aetna.com</t>
  </si>
  <si>
    <t xml:space="preserve">percentage of salary paid out</t>
  </si>
  <si>
    <t xml:space="preserve">max monthly benefit</t>
  </si>
  <si>
    <t xml:space="preserve">VLTD7823</t>
  </si>
  <si>
    <t xml:space="preserve">Voluntary LTD</t>
  </si>
  <si>
    <t xml:space="preserve">maximum weekly benefit</t>
  </si>
  <si>
    <t xml:space="preserve">STD8234</t>
  </si>
  <si>
    <t xml:space="preserve">Short Term Disability</t>
  </si>
  <si>
    <t xml:space="preserve">http://std.aetna.com</t>
  </si>
  <si>
    <t xml:space="preserve">0-24,8%
25-34,9%
35-44,10%
45-54,11%
55-64,12%
65-70,13%
71+,20%</t>
  </si>
  <si>
    <t xml:space="preserve">minimum_contribution</t>
  </si>
  <si>
    <t xml:space="preserve">FSA8449</t>
  </si>
  <si>
    <t xml:space="preserve">Flexible Spending Account</t>
  </si>
  <si>
    <t xml:space="preserve">http://fsa.aetna.com</t>
  </si>
  <si>
    <t xml:space="preserve">minimum contribution</t>
  </si>
  <si>
    <t xml:space="preserve">HSA82289</t>
  </si>
  <si>
    <t xml:space="preserve">Health Savings Account</t>
  </si>
  <si>
    <t xml:space="preserve">https://hsa.com</t>
  </si>
  <si>
    <t xml:space="preserve">premiummatrix</t>
  </si>
  <si>
    <t xml:space="preserve">HRA82289</t>
  </si>
  <si>
    <t xml:space="preserve">HRA Account</t>
  </si>
  <si>
    <t xml:space="preserve">percentage of premium matched by employer</t>
  </si>
  <si>
    <t xml:space="preserve">max contribution by employer</t>
  </si>
  <si>
    <t xml:space="preserve">401K77878</t>
  </si>
  <si>
    <t xml:space="preserve">Employee 401K</t>
  </si>
  <si>
    <t xml:space="preserve">https://e401k.com</t>
  </si>
  <si>
    <t xml:space="preserve">AEAP332</t>
  </si>
  <si>
    <t xml:space="preserve">Employee Assistance</t>
  </si>
  <si>
    <t xml:space="preserve">http://eap.com</t>
  </si>
  <si>
    <t xml:space="preserve">LTC234</t>
  </si>
  <si>
    <t xml:space="preserve">Long Term Care</t>
  </si>
  <si>
    <t xml:space="preserve">http://ltc.aetna.com</t>
  </si>
  <si>
    <t xml:space="preserve">smoker,17-24,employee_only,$13
smoker, 25-45, employee_only,$22
smoker, 46-90,employee_only,$40
non-smoker,17-24,employee_only,$8
non-smoker, 25-45, employee_only,$17
non-smoker, 46-90,employee_only,$35
smoker,17-24,employee_and_spouse,$23
smoker, 25-45, employee_and_spouse,$32
smoker, 46-90,employee_and_spouse,$50
non-smoker,17-24,employee_and_spouse,$18
non-smoker, 25-45, employee_and_spouse,$27
non-smoker, 46-90,employee_and_spouse,$45
smoker,17-24,employee_and_children,$23
smoker, 25-45, employee_and_children,$32
smoker, 46-90,employee_and_children,$50
non-smoker,17-24,employee_and_children,$18
non-smoker, 25-45, employee_and_children,$27
non-smoker, 46-90,employee_and_children,$45
smoker,17-24,employee_and_family,$33
smoker, 25-45, employee_and_family,$42
smoker, 46-90,employee_and_family,$60
non-smoker,17-24,employee_and_family,$28
non-smoker, 25-45, employee_and_family,$37
non-smoker, 46-90,employee_and_family,$55</t>
  </si>
  <si>
    <t xml:space="preserve">CRIT23490</t>
  </si>
  <si>
    <t xml:space="preserve">Critical Illnes Plan</t>
  </si>
  <si>
    <t xml:space="preserve">http://cip.com</t>
  </si>
  <si>
    <t xml:space="preserve">smoker,male,17-24,employee_only,$15
smoker,female, 17-24,employee_only,$13
smoker, male, 25-45,employee_only,$25
smoker, female, 25-45, employee_only, $22
smoker, male, 46-90,employee_only, $45
smoker, female, 46-90,employee_only,$40
non-smoker,male,17-24,employee_only,$10
non-smoker,female, 17-24,employee_only,$8
non-smoker, male, 25-45,employee_only,$20
non-smoker, female, 25-45, employee_only, $17
non-smoker, male, 46-90,employee_only, $40
non-smoker, female, 46-90,employee_only,$35
smoker,male,17-24,employee_and_spouse,$25
smoker,female, 17-24,employee_and_spouse,$23
smoker, male, 25-45,employee_and_spouse,$35
smoker, female, 25-45, employee_and_spouse, $32
smoker, male, 46-90,employee_and_spouse, $55
smoker, female, 46-90,employee_and_spouse,$50
non-smoker,male,17-24,employee_and_spouse,$20
non-smoker,female, 17-24,employee_and_spouse,$18
non-smoker, male, 25-45,employee_and_spouse,$30
non-smoker, female, 25-45, employee_and_spouse, $27
non-smoker, male, 46-90,employee_and_spouse, $50
non-smoker, female, 46-90,employee_and_spouse,$45
smoker,male,17-24,employee_and_children,$25
smoker,female, 17-24,employee_and_children,$23
smoker, male, 25-45,employee_and_children,$35
smoker, female, 25-45, employee_and_children, $32
smoker, male, 46-90,employee_and_children, $55
smoker, female, 46-90,employee_and_children,$50
non-smoker,male,17-24,employee_and_children,$20
non-smoker,female, 17-24,employee_and_children,$18
non-smoker, male, 25-45,employee_and_children,$30
non-smoker, female, 25-45, employee_and_children, $27
non-smoker, male, 46-90,employee_and_children, $50
non-smoker, female, 46-90,employee_and_children,$45
smoker,male,17-24,employee_and_family,$35
smoker,female, 17-24,employee_and_family,$33
smoker, male, 25-45,employee_and_family,$45
smoker, female, 25-45, employee_and_family, $42
smoker, male, 46-90,employee_and_family, $65
smoker, female, 46-90,employee_and_family,$60
non-smoker,male,17-24,employee_and_family,$30
non-smoker,female, 17-24,employee_and_family,$28
non-smoker, male, 25-45,employee_and_family,$40
non-smoker, female, 25-45, employee_and_family, $37
non-smoker, male, 46-90,employee_and_family, $60
non-smoker, female, 46-90,employee_and_family,$55</t>
  </si>
  <si>
    <t xml:space="preserve">Can23498</t>
  </si>
  <si>
    <t xml:space="preserve">Cancer Insurance</t>
  </si>
  <si>
    <t xml:space="preserve">https://cancer.aetna.com</t>
  </si>
  <si>
    <t xml:space="preserve">CanMajor</t>
  </si>
  <si>
    <t xml:space="preserve">Cancer Insurance (Major)</t>
  </si>
  <si>
    <t xml:space="preserve">minimum_benefit</t>
  </si>
  <si>
    <t xml:space="preserve">maximum_benefit</t>
  </si>
  <si>
    <t xml:space="preserve">ACC</t>
  </si>
  <si>
    <t xml:space="preserve">Accident Plan</t>
  </si>
  <si>
    <t xml:space="preserve">accident.aetna.com</t>
  </si>
  <si>
    <t xml:space="preserve">flat amount of cost paid by employer</t>
  </si>
  <si>
    <t xml:space="preserve">percentage of cost paid by employer</t>
  </si>
  <si>
    <t xml:space="preserve">PTP23489</t>
  </si>
  <si>
    <t xml:space="preserve">Parking and Transit</t>
  </si>
  <si>
    <t xml:space="preserve">IDT</t>
  </si>
  <si>
    <t xml:space="preserve">Identity Theft</t>
  </si>
  <si>
    <t xml:space="preserve">enrollment year</t>
  </si>
  <si>
    <t xml:space="preserve">plan code</t>
  </si>
  <si>
    <t xml:space="preserve">Employee Only</t>
  </si>
  <si>
    <t xml:space="preserve">Employee Spouse</t>
  </si>
  <si>
    <t xml:space="preserve">Employee Children</t>
  </si>
  <si>
    <t xml:space="preserve">Employee Family</t>
  </si>
  <si>
    <t xml:space="preserve">Employee Plus 1</t>
  </si>
  <si>
    <t xml:space="preserve">Employee Plus 2</t>
  </si>
  <si>
    <t xml:space="preserve">Employee Plus 3</t>
  </si>
  <si>
    <t xml:space="preserve">Benefit Amount</t>
  </si>
  <si>
    <t xml:space="preserve">Beneficiary SSN</t>
  </si>
  <si>
    <t xml:space="preserve">ADDD8229</t>
  </si>
  <si>
    <t xml:space="preserve">ST234</t>
  </si>
  <si>
    <t xml:space="preserve">booleans</t>
  </si>
  <si>
    <t xml:space="preserve">states</t>
  </si>
  <si>
    <t xml:space="preserve">genders</t>
  </si>
  <si>
    <t xml:space="preserve">marriage status</t>
  </si>
  <si>
    <t xml:space="preserve">smoker status</t>
  </si>
  <si>
    <t xml:space="preserve">beneficairy type</t>
  </si>
  <si>
    <t xml:space="preserve">salary modes</t>
  </si>
  <si>
    <t xml:space="preserve">plan termination types</t>
  </si>
  <si>
    <t xml:space="preserve">billing type</t>
  </si>
  <si>
    <t xml:space="preserve">AL</t>
  </si>
  <si>
    <t xml:space="preserve">husband</t>
  </si>
  <si>
    <t xml:space="preserve">hourly</t>
  </si>
  <si>
    <t xml:space="preserve">same day</t>
  </si>
  <si>
    <t xml:space="preserve">AK</t>
  </si>
  <si>
    <t xml:space="preserve">contingent</t>
  </si>
  <si>
    <t xml:space="preserve">wife</t>
  </si>
  <si>
    <t xml:space="preserve">weekly</t>
  </si>
  <si>
    <t xml:space="preserve">first day of the month</t>
  </si>
  <si>
    <t xml:space="preserve">AZ</t>
  </si>
  <si>
    <t xml:space="preserve">divorced</t>
  </si>
  <si>
    <t xml:space="preserve">bi-weekly</t>
  </si>
  <si>
    <t xml:space="preserve">last day of the month</t>
  </si>
  <si>
    <t xml:space="preserve">AR</t>
  </si>
  <si>
    <t xml:space="preserve">widowed</t>
  </si>
  <si>
    <t xml:space="preserve">semi-monthly</t>
  </si>
  <si>
    <t xml:space="preserve">CA</t>
  </si>
  <si>
    <t xml:space="preserve">incapacitated</t>
  </si>
  <si>
    <t xml:space="preserve">monthly</t>
  </si>
  <si>
    <t xml:space="preserve">CO</t>
  </si>
  <si>
    <t xml:space="preserve">CT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</si>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</sst>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moker_Status" displayName="Smoker_Status" ref="E2:E3" headerRowCount="1" totalsRowCount="0" totalsRowShown="0">
  <tableColumns count="1">
    <tableColumn id="1" name="smoker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api.aetna.com/" TargetMode="External"/><Relationship Id="rId2" Type="http://schemas.openxmlformats.org/officeDocument/2006/relationships/hyperlink" Target="http://api.retina.com/" TargetMode="External"/><Relationship Id="rId3" Type="http://schemas.openxmlformats.org/officeDocument/2006/relationships/hyperlink" Target="http://api.unitedhealtch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billy@bob.com" TargetMode="External"/><Relationship Id="rId2" Type="http://schemas.openxmlformats.org/officeDocument/2006/relationships/hyperlink" Target="mailto:sally@smith.com" TargetMode="External"/><Relationship Id="rId3" Type="http://schemas.openxmlformats.org/officeDocument/2006/relationships/hyperlink" Target="mailto:randall@mills.com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<Relationship Id="rId2" Type="http://schemas.openxmlformats.org/officeDocument/2006/relationships/hyperlink" Target="https://www.aetna.com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ltd.com/" TargetMode="External"/><Relationship Id="rId2" Type="http://schemas.openxmlformats.org/officeDocument/2006/relationships/hyperlink" Target="http://ltd.aetna.com/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ltd.com/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://std.aetna.com/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://std.aetna.com/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ttp://fsa.aetna.com/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://fsa.aetna.com/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https://e401k.com/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http://eap.com/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http://ltc.aetna.com/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http://cip.com/" TargetMode="External"/><Relationship Id="rId2" Type="http://schemas.openxmlformats.org/officeDocument/2006/relationships/hyperlink" Target="https://e401k.com/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https://cancer.aetna.com/" TargetMode="External"/><Relationship Id="rId2" Type="http://schemas.openxmlformats.org/officeDocument/2006/relationships/hyperlink" Target="https://cancer.aetna.com/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9.36"/>
    <col collapsed="false" customWidth="true" hidden="false" outlineLevel="0" max="3" min="3" style="0" width="13.32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2" t="n">
        <v>35796</v>
      </c>
    </row>
    <row r="3" customFormat="false" ht="12.8" hidden="false" customHeight="false" outlineLevel="0" collapsed="false">
      <c r="A3" s="0" t="s">
        <v>5</v>
      </c>
      <c r="B3" s="0" t="s">
        <v>6</v>
      </c>
      <c r="C3" s="2" t="n">
        <v>32964</v>
      </c>
    </row>
    <row r="4" customFormat="false" ht="12.8" hidden="false" customHeight="false" outlineLevel="0" collapsed="false">
      <c r="A4" s="0" t="s">
        <v>7</v>
      </c>
      <c r="B4" s="0" t="s">
        <v>8</v>
      </c>
      <c r="C4" s="2" t="n">
        <v>36936</v>
      </c>
    </row>
    <row r="5" customFormat="false" ht="12.8" hidden="false" customHeight="false" outlineLevel="0" collapsed="false">
      <c r="A5" s="0" t="s">
        <v>9</v>
      </c>
      <c r="B5" s="0" t="s">
        <v>10</v>
      </c>
      <c r="C5" s="2" t="n">
        <v>37987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2" t="n">
        <v>-329549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2" t="n">
        <v>36982</v>
      </c>
    </row>
  </sheetData>
  <dataValidations count="2">
    <dataValidation allowBlank="false" operator="equal" showDropDown="false" showErrorMessage="true" showInputMessage="false" sqref="C2:C7" type="date">
      <formula1>0</formula1>
      <formula2>0</formula2>
    </dataValidation>
    <dataValidation allowBlank="false" operator="equal" showDropDown="false" showErrorMessage="true" showInputMessage="false" sqref="C1" type="none">
      <formula1>12/30/1899</formula1>
      <formula2>12/30/1899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13.09"/>
    <col collapsed="false" customWidth="true" hidden="false" outlineLevel="0" max="3" min="3" style="0" width="23.8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15</v>
      </c>
      <c r="B1" s="1" t="s">
        <v>16</v>
      </c>
      <c r="C1" s="1" t="s">
        <v>17</v>
      </c>
    </row>
    <row r="2" customFormat="false" ht="12.8" hidden="false" customHeight="false" outlineLevel="0" collapsed="false">
      <c r="A2" s="0" t="s">
        <v>18</v>
      </c>
      <c r="B2" s="0" t="n">
        <v>2149801234</v>
      </c>
      <c r="C2" s="3" t="s">
        <v>19</v>
      </c>
    </row>
    <row r="3" customFormat="false" ht="12.8" hidden="false" customHeight="false" outlineLevel="0" collapsed="false">
      <c r="A3" s="0" t="s">
        <v>20</v>
      </c>
      <c r="B3" s="0" t="n">
        <v>2145098888</v>
      </c>
      <c r="C3" s="3" t="s">
        <v>21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3" t="s">
        <v>24</v>
      </c>
    </row>
  </sheetData>
  <hyperlinks>
    <hyperlink ref="C2" r:id="rId1" display="http://api.aetna.com"/>
    <hyperlink ref="C3" r:id="rId2" display="http://api.retina.com"/>
    <hyperlink ref="C4" r:id="rId3" display="http://api.unitedhealtch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4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J5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3.24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11.81"/>
    <col collapsed="false" customWidth="true" hidden="false" outlineLevel="0" max="7" min="7" style="0" width="8.63"/>
    <col collapsed="false" customWidth="true" hidden="false" outlineLevel="0" max="8" min="8" style="0" width="10.22"/>
    <col collapsed="false" customWidth="true" hidden="false" outlineLevel="0" max="9" min="9" style="0" width="13.4"/>
    <col collapsed="false" customWidth="true" hidden="false" outlineLevel="0" max="11" min="10" style="0" width="13.02"/>
    <col collapsed="false" customWidth="true" hidden="false" outlineLevel="0" max="13" min="12" style="0" width="18.72"/>
    <col collapsed="false" customWidth="true" hidden="false" outlineLevel="0" max="14" min="14" style="0" width="7.6"/>
    <col collapsed="false" customWidth="true" hidden="false" outlineLevel="0" max="15" min="15" style="0" width="6.65"/>
    <col collapsed="false" customWidth="true" hidden="false" outlineLevel="0" max="16" min="16" style="0" width="5.86"/>
    <col collapsed="false" customWidth="true" hidden="false" outlineLevel="0" max="17" min="17" style="0" width="6.65"/>
    <col collapsed="false" customWidth="true" hidden="false" outlineLevel="0" max="18" min="18" style="0" width="10.7"/>
    <col collapsed="false" customWidth="true" hidden="false" outlineLevel="0" max="19" min="19" style="0" width="10.06"/>
    <col collapsed="false" customWidth="true" hidden="false" outlineLevel="0" max="20" min="20" style="0" width="16.48"/>
    <col collapsed="false" customWidth="true" hidden="false" outlineLevel="0" max="21" min="21" style="0" width="8.08"/>
    <col collapsed="false" customWidth="true" hidden="false" outlineLevel="0" max="22" min="22" style="0" width="9.13"/>
    <col collapsed="false" customWidth="true" hidden="false" outlineLevel="0" max="23" min="23" style="0" width="13.32"/>
    <col collapsed="false" customWidth="true" hidden="false" outlineLevel="0" max="24" min="24" style="0" width="15.68"/>
    <col collapsed="false" customWidth="true" hidden="false" outlineLevel="0" max="25" min="25" style="0" width="8.71"/>
    <col collapsed="false" customWidth="true" hidden="false" outlineLevel="0" max="26" min="26" style="0" width="12.44"/>
    <col collapsed="false" customWidth="true" hidden="false" outlineLevel="0" max="27" min="27" style="0" width="22.69"/>
    <col collapsed="false" customWidth="true" hidden="false" outlineLevel="0" max="28" min="28" style="0" width="7.84"/>
    <col collapsed="false" customWidth="true" hidden="false" outlineLevel="0" max="29" min="29" style="0" width="12.13"/>
    <col collapsed="false" customWidth="true" hidden="false" outlineLevel="0" max="30" min="30" style="0" width="19.12"/>
    <col collapsed="false" customWidth="true" hidden="false" outlineLevel="0" max="31" min="31" style="0" width="11.81"/>
    <col collapsed="false" customWidth="true" hidden="false" outlineLevel="0" max="32" min="32" style="0" width="15.15"/>
    <col collapsed="false" customWidth="true" hidden="false" outlineLevel="0" max="33" min="33" style="0" width="23.48"/>
    <col collapsed="false" customWidth="true" hidden="false" outlineLevel="0" max="34" min="34" style="0" width="29.04"/>
    <col collapsed="false" customWidth="true" hidden="false" outlineLevel="0" max="35" min="35" style="0" width="24.2"/>
    <col collapsed="false" customWidth="true" hidden="false" outlineLevel="0" max="36" min="36" style="0" width="13.24"/>
    <col collapsed="false" customWidth="false" hidden="false" outlineLevel="0" max="1025" min="37" style="0" width="11.52"/>
  </cols>
  <sheetData>
    <row r="1" s="1" customFormat="true" ht="12.8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2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16</v>
      </c>
      <c r="AF1" s="1" t="s">
        <v>54</v>
      </c>
      <c r="AG1" s="1" t="s">
        <v>55</v>
      </c>
      <c r="AH1" s="1" t="s">
        <v>56</v>
      </c>
      <c r="AI1" s="1" t="s">
        <v>57</v>
      </c>
      <c r="AJ1" s="0"/>
    </row>
    <row r="2" customFormat="false" ht="12.8" hidden="false" customHeight="false" outlineLevel="0" collapsed="false">
      <c r="A2" s="0" t="n">
        <v>2903</v>
      </c>
      <c r="B2" s="4" t="s">
        <v>5</v>
      </c>
      <c r="C2" s="0" t="s">
        <v>58</v>
      </c>
      <c r="D2" s="0" t="s">
        <v>59</v>
      </c>
      <c r="E2" s="0" t="s">
        <v>60</v>
      </c>
      <c r="F2" s="0" t="n">
        <v>2533349807</v>
      </c>
      <c r="G2" s="2" t="n">
        <v>18219</v>
      </c>
      <c r="H2" s="4" t="s">
        <v>61</v>
      </c>
      <c r="I2" s="4" t="s">
        <v>62</v>
      </c>
      <c r="J2" s="2" t="n">
        <v>19309</v>
      </c>
      <c r="K2" s="4" t="s">
        <v>63</v>
      </c>
      <c r="L2" s="4" t="s">
        <v>63</v>
      </c>
      <c r="M2" s="0" t="s">
        <v>64</v>
      </c>
      <c r="O2" s="0" t="s">
        <v>65</v>
      </c>
      <c r="P2" s="4" t="s">
        <v>66</v>
      </c>
      <c r="Q2" s="0" t="n">
        <v>75201</v>
      </c>
      <c r="R2" s="0" t="s">
        <v>67</v>
      </c>
      <c r="S2" s="0" t="s">
        <v>43</v>
      </c>
      <c r="T2" s="3" t="s">
        <v>68</v>
      </c>
      <c r="U2" s="4" t="s">
        <v>69</v>
      </c>
      <c r="V2" s="2" t="n">
        <v>38428</v>
      </c>
      <c r="W2" s="2" t="n">
        <v>36892</v>
      </c>
      <c r="Y2" s="0" t="s">
        <v>70</v>
      </c>
      <c r="Z2" s="0" t="s">
        <v>71</v>
      </c>
      <c r="AA2" s="2" t="n">
        <v>37257</v>
      </c>
      <c r="AB2" s="0" t="n">
        <v>45000</v>
      </c>
      <c r="AC2" s="4" t="s">
        <v>72</v>
      </c>
      <c r="AD2" s="2" t="n">
        <v>38428</v>
      </c>
      <c r="AE2" s="0" t="n">
        <v>8237430987</v>
      </c>
      <c r="AF2" s="0" t="n">
        <v>2134445678</v>
      </c>
      <c r="AG2" s="0" t="s">
        <v>73</v>
      </c>
      <c r="AH2" s="0" t="s">
        <v>74</v>
      </c>
      <c r="AI2" s="0" t="n">
        <v>2143453456</v>
      </c>
    </row>
    <row r="3" customFormat="false" ht="12.8" hidden="false" customHeight="false" outlineLevel="0" collapsed="false">
      <c r="A3" s="0" t="n">
        <v>4298</v>
      </c>
      <c r="B3" s="4" t="s">
        <v>3</v>
      </c>
      <c r="C3" s="0" t="s">
        <v>75</v>
      </c>
      <c r="D3" s="0" t="s">
        <v>76</v>
      </c>
      <c r="E3" s="0" t="s">
        <v>77</v>
      </c>
      <c r="F3" s="0" t="n">
        <v>8897892348</v>
      </c>
      <c r="G3" s="2" t="n">
        <v>21221</v>
      </c>
      <c r="H3" s="4" t="s">
        <v>78</v>
      </c>
      <c r="I3" s="4" t="s">
        <v>62</v>
      </c>
      <c r="J3" s="2" t="n">
        <v>22282</v>
      </c>
      <c r="K3" s="4" t="s">
        <v>63</v>
      </c>
      <c r="L3" s="4" t="s">
        <v>63</v>
      </c>
      <c r="M3" s="0" t="s">
        <v>79</v>
      </c>
      <c r="O3" s="0" t="s">
        <v>65</v>
      </c>
      <c r="P3" s="4" t="s">
        <v>66</v>
      </c>
      <c r="Q3" s="0" t="n">
        <v>75201</v>
      </c>
      <c r="R3" s="0" t="s">
        <v>80</v>
      </c>
      <c r="S3" s="0" t="s">
        <v>43</v>
      </c>
      <c r="T3" s="3" t="s">
        <v>81</v>
      </c>
      <c r="U3" s="4" t="s">
        <v>69</v>
      </c>
      <c r="V3" s="2" t="n">
        <v>40440</v>
      </c>
      <c r="W3" s="2" t="n">
        <v>40440</v>
      </c>
      <c r="Y3" s="0" t="s">
        <v>70</v>
      </c>
      <c r="Z3" s="0" t="s">
        <v>71</v>
      </c>
      <c r="AA3" s="2" t="n">
        <v>37257</v>
      </c>
      <c r="AB3" s="0" t="n">
        <v>53000</v>
      </c>
      <c r="AC3" s="4" t="s">
        <v>72</v>
      </c>
      <c r="AD3" s="2" t="n">
        <v>40440</v>
      </c>
      <c r="AE3" s="0" t="n">
        <v>2145640987</v>
      </c>
      <c r="AF3" s="0" t="n">
        <v>2145847860</v>
      </c>
      <c r="AG3" s="0" t="s">
        <v>82</v>
      </c>
      <c r="AH3" s="0" t="s">
        <v>83</v>
      </c>
      <c r="AI3" s="0" t="n">
        <v>2149083499</v>
      </c>
    </row>
    <row r="4" customFormat="false" ht="12.8" hidden="false" customHeight="false" outlineLevel="0" collapsed="false">
      <c r="A4" s="0" t="n">
        <v>4220</v>
      </c>
      <c r="B4" s="4" t="s">
        <v>3</v>
      </c>
      <c r="C4" s="0" t="s">
        <v>84</v>
      </c>
      <c r="E4" s="0" t="s">
        <v>85</v>
      </c>
      <c r="F4" s="0" t="n">
        <v>8892345678</v>
      </c>
      <c r="G4" s="2" t="n">
        <v>30671</v>
      </c>
      <c r="H4" s="4" t="s">
        <v>61</v>
      </c>
      <c r="I4" s="4" t="s">
        <v>62</v>
      </c>
      <c r="J4" s="2" t="n">
        <v>29619</v>
      </c>
      <c r="K4" s="4" t="s">
        <v>86</v>
      </c>
      <c r="L4" s="4" t="s">
        <v>86</v>
      </c>
      <c r="M4" s="0" t="s">
        <v>87</v>
      </c>
      <c r="O4" s="0" t="s">
        <v>65</v>
      </c>
      <c r="P4" s="4" t="s">
        <v>66</v>
      </c>
      <c r="Q4" s="0" t="n">
        <v>75221</v>
      </c>
      <c r="R4" s="0" t="s">
        <v>88</v>
      </c>
      <c r="S4" s="0" t="s">
        <v>43</v>
      </c>
      <c r="T4" s="3" t="s">
        <v>89</v>
      </c>
      <c r="U4" s="4" t="s">
        <v>69</v>
      </c>
      <c r="V4" s="2" t="n">
        <v>33116</v>
      </c>
      <c r="W4" s="2" t="n">
        <v>33131</v>
      </c>
      <c r="Y4" s="0" t="s">
        <v>70</v>
      </c>
      <c r="Z4" s="0" t="s">
        <v>71</v>
      </c>
      <c r="AA4" s="2" t="n">
        <v>37257</v>
      </c>
      <c r="AB4" s="0" t="n">
        <v>47999</v>
      </c>
      <c r="AC4" s="4" t="s">
        <v>72</v>
      </c>
      <c r="AD4" s="2" t="n">
        <v>33131</v>
      </c>
      <c r="AE4" s="0" t="n">
        <v>2145478989</v>
      </c>
      <c r="AF4" s="0" t="n">
        <v>2148798989</v>
      </c>
      <c r="AG4" s="0" t="s">
        <v>90</v>
      </c>
      <c r="AH4" s="0" t="s">
        <v>74</v>
      </c>
      <c r="AI4" s="0" t="n">
        <v>2148997897</v>
      </c>
    </row>
  </sheetData>
  <dataValidations count="13">
    <dataValidation allowBlank="false" operator="equal" showDropDown="false" showErrorMessage="true" showInputMessage="false" sqref="G1:G4 W1:X1 V2:X4 AA2:AA4 AD2:AD4" type="date">
      <formula1>0</formula1>
      <formula2>0</formula2>
    </dataValidation>
    <dataValidation allowBlank="false" operator="equal" showDropDown="false" showErrorMessage="true" showInputMessage="false" sqref="H1:L1 P1 U1" type="none">
      <formula1>0</formula1>
      <formula2>0</formula2>
    </dataValidation>
    <dataValidation allowBlank="false" operator="equal" showDropDown="false" showErrorMessage="true" showInputMessage="false" sqref="P2:P4" type="list">
      <formula1>"AL,AK,AZ,AR,CA,CO,CT,DE,FL,GA,HI,ID,IL,IN,IA,KS,KY,LA,ME,MD,MA,MI,MN,MS,MO,MT,NE,NV,NH,NJ,NM,NY,NC,ND,OH,OK,OR,PA,RI,SC,SD,TN,TX,UT,VT,VA,WA,WV,WI,WY"</formula1>
      <formula2>0</formula2>
    </dataValidation>
    <dataValidation allowBlank="false" operator="equal" showDropDown="false" showErrorMessage="true" showInputMessage="false" sqref="V1" type="none">
      <formula1>12/30/1899</formula1>
      <formula2>12/30/1899</formula2>
    </dataValidation>
    <dataValidation allowBlank="false" operator="equal" showDropDown="false" showErrorMessage="true" showInputMessage="false" sqref="AA1" type="none">
      <formula1>12/30/1899</formula1>
      <formula2>12/30/1899</formula2>
    </dataValidation>
    <dataValidation allowBlank="false" operator="equal" showDropDown="false" showErrorMessage="true" showInputMessage="false" sqref="AC1" type="list">
      <formula1>"H,W,B,S,M,A"</formula1>
      <formula2>0</formula2>
    </dataValidation>
    <dataValidation allowBlank="false" operator="equal" showDropDown="false" showErrorMessage="true" showInputMessage="false" sqref="AD1" type="none">
      <formula1>12/30/1899</formula1>
      <formula2>12/30/1899</formula2>
    </dataValidation>
    <dataValidation allowBlank="false" operator="equal" showDropDown="false" showErrorMessage="true" showInputMessage="false" sqref="B2:B4" type="list">
      <formula1>Locations</formula1>
      <formula2>0</formula2>
    </dataValidation>
    <dataValidation allowBlank="false" operator="equal" showDropDown="false" showErrorMessage="true" showInputMessage="false" sqref="H2:H4" type="list">
      <formula1>Genders</formula1>
      <formula2>0</formula2>
    </dataValidation>
    <dataValidation allowBlank="false" operator="equal" showDropDown="false" showErrorMessage="true" showInputMessage="false" sqref="I2:I4" type="list">
      <formula1>Marital_Statuses</formula1>
      <formula2>0</formula2>
    </dataValidation>
    <dataValidation allowBlank="false" operator="equal" showDropDown="false" showErrorMessage="true" showInputMessage="false" sqref="K2:L4" type="list">
      <formula1>Smoker_Statuses</formula1>
      <formula2>0</formula2>
    </dataValidation>
    <dataValidation allowBlank="false" operator="equal" showDropDown="false" showErrorMessage="true" showInputMessage="false" sqref="U2:U4" type="list">
      <formula1>Boolean</formula1>
      <formula2>0</formula2>
    </dataValidation>
    <dataValidation allowBlank="false" operator="equal" showDropDown="false" showErrorMessage="true" showInputMessage="false" sqref="AC2:AC4" type="list">
      <formula1>Salary_Modes</formula1>
      <formula2>0</formula2>
    </dataValidation>
  </dataValidations>
  <hyperlinks>
    <hyperlink ref="T2" r:id="rId1" display="billy@bob.com"/>
    <hyperlink ref="T3" r:id="rId2" display="sally@smith.com"/>
    <hyperlink ref="T4" r:id="rId3" display="randall@mills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1" min="1" style="0" width="17.6"/>
    <col collapsed="false" customWidth="true" hidden="false" outlineLevel="0" max="2" min="2" style="0" width="10.7"/>
    <col collapsed="false" customWidth="true" hidden="false" outlineLevel="0" max="3" min="3" style="0" width="10.06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91</v>
      </c>
      <c r="B1" s="1" t="s">
        <v>42</v>
      </c>
      <c r="C1" s="1" t="s">
        <v>43</v>
      </c>
    </row>
    <row r="2" customFormat="false" ht="12.8" hidden="false" customHeight="false" outlineLevel="0" collapsed="false">
      <c r="B2" s="0" t="s">
        <v>92</v>
      </c>
      <c r="C2" s="0" t="s">
        <v>93</v>
      </c>
    </row>
    <row r="3" customFormat="false" ht="12.8" hidden="false" customHeight="false" outlineLevel="0" collapsed="false">
      <c r="A3" s="0" t="n">
        <v>4220</v>
      </c>
      <c r="B3" s="0" t="s">
        <v>88</v>
      </c>
      <c r="C3" s="0" t="s">
        <v>94</v>
      </c>
    </row>
  </sheetData>
  <dataValidations count="1">
    <dataValidation allowBlank="true" operator="equal" showDropDown="false" showErrorMessage="true" showInputMessage="false" sqref="A2:A3" type="list">
      <formula1>Employee_Numbers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6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5.08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21.34"/>
    <col collapsed="false" customWidth="true" hidden="false" outlineLevel="0" max="7" min="7" style="0" width="12.05"/>
    <col collapsed="false" customWidth="true" hidden="false" outlineLevel="0" max="8" min="8" style="0" width="11.26"/>
    <col collapsed="false" customWidth="true" hidden="false" outlineLevel="0" max="9" min="9" style="0" width="13.4"/>
    <col collapsed="false" customWidth="true" hidden="false" outlineLevel="0" max="10" min="10" style="0" width="13.02"/>
    <col collapsed="false" customWidth="true" hidden="false" outlineLevel="0" max="11" min="11" style="0" width="15.54"/>
    <col collapsed="false" customWidth="true" hidden="false" outlineLevel="0" max="12" min="12" style="0" width="8.87"/>
    <col collapsed="false" customWidth="true" hidden="false" outlineLevel="0" max="13" min="13" style="0" width="13.63"/>
    <col collapsed="false" customWidth="true" hidden="false" outlineLevel="0" max="14" min="14" style="0" width="25.14"/>
    <col collapsed="false" customWidth="true" hidden="false" outlineLevel="0" max="15" min="15" style="0" width="17.21"/>
    <col collapsed="false" customWidth="true" hidden="false" outlineLevel="0" max="16" min="16" style="0" width="7.76"/>
    <col collapsed="false" customWidth="true" hidden="false" outlineLevel="0" max="17" min="17" style="0" width="6.65"/>
    <col collapsed="false" customWidth="true" hidden="false" outlineLevel="0" max="18" min="18" style="0" width="5.86"/>
    <col collapsed="false" customWidth="false" hidden="false" outlineLevel="0" max="1025" min="19" style="0" width="11.52"/>
  </cols>
  <sheetData>
    <row r="1" s="1" customFormat="true" ht="12.8" hidden="false" customHeight="false" outlineLevel="0" collapsed="false">
      <c r="A1" s="1" t="s">
        <v>25</v>
      </c>
      <c r="B1" s="1" t="s">
        <v>95</v>
      </c>
      <c r="C1" s="1" t="s">
        <v>27</v>
      </c>
      <c r="D1" s="1" t="s">
        <v>28</v>
      </c>
      <c r="E1" s="1" t="s">
        <v>29</v>
      </c>
      <c r="F1" s="1" t="s">
        <v>96</v>
      </c>
      <c r="G1" s="1" t="s">
        <v>97</v>
      </c>
      <c r="H1" s="1" t="s">
        <v>32</v>
      </c>
      <c r="I1" s="1" t="s">
        <v>33</v>
      </c>
      <c r="J1" s="1" t="s">
        <v>35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AMJ1" s="0"/>
    </row>
    <row r="2" customFormat="false" ht="12.8" hidden="false" customHeight="false" outlineLevel="0" collapsed="false">
      <c r="A2" s="0" t="n">
        <v>2903</v>
      </c>
      <c r="B2" s="4" t="s">
        <v>102</v>
      </c>
      <c r="C2" s="0" t="s">
        <v>103</v>
      </c>
      <c r="D2" s="0" t="s">
        <v>104</v>
      </c>
      <c r="E2" s="0" t="s">
        <v>60</v>
      </c>
      <c r="F2" s="0" t="n">
        <v>2238972347</v>
      </c>
      <c r="G2" s="2" t="n">
        <v>36495</v>
      </c>
      <c r="H2" s="4" t="s">
        <v>78</v>
      </c>
      <c r="I2" s="4" t="s">
        <v>105</v>
      </c>
      <c r="J2" s="4" t="s">
        <v>63</v>
      </c>
      <c r="K2" s="4" t="s">
        <v>69</v>
      </c>
      <c r="L2" s="4" t="s">
        <v>106</v>
      </c>
      <c r="N2" s="4" t="s">
        <v>69</v>
      </c>
    </row>
    <row r="3" customFormat="false" ht="12.8" hidden="false" customHeight="false" outlineLevel="0" collapsed="false">
      <c r="A3" s="0" t="n">
        <v>2903</v>
      </c>
      <c r="B3" s="4" t="s">
        <v>102</v>
      </c>
      <c r="C3" s="0" t="s">
        <v>107</v>
      </c>
      <c r="D3" s="0" t="s">
        <v>108</v>
      </c>
      <c r="E3" s="0" t="s">
        <v>60</v>
      </c>
      <c r="F3" s="0" t="n">
        <v>2239807585</v>
      </c>
      <c r="G3" s="2" t="n">
        <v>36495</v>
      </c>
      <c r="H3" s="4" t="s">
        <v>78</v>
      </c>
      <c r="I3" s="4" t="s">
        <v>105</v>
      </c>
      <c r="J3" s="4" t="s">
        <v>63</v>
      </c>
      <c r="K3" s="4" t="s">
        <v>69</v>
      </c>
      <c r="L3" s="4" t="s">
        <v>106</v>
      </c>
      <c r="N3" s="4" t="s">
        <v>69</v>
      </c>
    </row>
    <row r="4" customFormat="false" ht="12.8" hidden="false" customHeight="false" outlineLevel="0" collapsed="false">
      <c r="A4" s="0" t="n">
        <v>2903</v>
      </c>
      <c r="B4" s="4" t="s">
        <v>109</v>
      </c>
      <c r="C4" s="0" t="s">
        <v>110</v>
      </c>
      <c r="E4" s="0" t="s">
        <v>60</v>
      </c>
      <c r="F4" s="0" t="n">
        <v>2892380475</v>
      </c>
      <c r="G4" s="2" t="n">
        <v>34736</v>
      </c>
      <c r="H4" s="4" t="s">
        <v>61</v>
      </c>
      <c r="I4" s="4" t="s">
        <v>105</v>
      </c>
      <c r="J4" s="4" t="s">
        <v>63</v>
      </c>
      <c r="K4" s="4" t="s">
        <v>69</v>
      </c>
      <c r="L4" s="4" t="s">
        <v>106</v>
      </c>
      <c r="N4" s="4" t="s">
        <v>69</v>
      </c>
    </row>
    <row r="5" customFormat="false" ht="12.8" hidden="false" customHeight="false" outlineLevel="0" collapsed="false">
      <c r="A5" s="0" t="n">
        <v>4298</v>
      </c>
      <c r="B5" s="4" t="s">
        <v>109</v>
      </c>
      <c r="C5" s="0" t="s">
        <v>59</v>
      </c>
      <c r="E5" s="0" t="s">
        <v>111</v>
      </c>
      <c r="F5" s="0" t="n">
        <v>2892348908</v>
      </c>
      <c r="G5" s="2" t="n">
        <v>33716</v>
      </c>
      <c r="H5" s="4" t="s">
        <v>61</v>
      </c>
      <c r="I5" s="4" t="s">
        <v>105</v>
      </c>
      <c r="J5" s="4" t="s">
        <v>63</v>
      </c>
      <c r="K5" s="4" t="s">
        <v>69</v>
      </c>
      <c r="L5" s="4" t="s">
        <v>106</v>
      </c>
      <c r="N5" s="4" t="s">
        <v>106</v>
      </c>
      <c r="O5" s="0" t="s">
        <v>112</v>
      </c>
      <c r="P5" s="0" t="s">
        <v>113</v>
      </c>
      <c r="Q5" s="0" t="s">
        <v>65</v>
      </c>
      <c r="R5" s="0" t="s">
        <v>66</v>
      </c>
      <c r="S5" s="0" t="n">
        <v>75201</v>
      </c>
    </row>
    <row r="6" customFormat="false" ht="12.8" hidden="false" customHeight="false" outlineLevel="0" collapsed="false">
      <c r="A6" s="0" t="n">
        <v>4298</v>
      </c>
      <c r="B6" s="4" t="s">
        <v>102</v>
      </c>
      <c r="C6" s="0" t="s">
        <v>114</v>
      </c>
      <c r="E6" s="0" t="s">
        <v>115</v>
      </c>
      <c r="F6" s="0" t="n">
        <v>2348902348</v>
      </c>
      <c r="G6" s="2" t="n">
        <v>40193</v>
      </c>
      <c r="H6" s="4" t="s">
        <v>78</v>
      </c>
      <c r="I6" s="4" t="s">
        <v>105</v>
      </c>
      <c r="J6" s="4" t="s">
        <v>63</v>
      </c>
      <c r="K6" s="4" t="s">
        <v>106</v>
      </c>
      <c r="L6" s="4" t="s">
        <v>106</v>
      </c>
      <c r="N6" s="4" t="s">
        <v>69</v>
      </c>
    </row>
  </sheetData>
  <dataValidations count="11">
    <dataValidation allowBlank="false" operator="equal" showDropDown="false" showErrorMessage="true" showInputMessage="false" sqref="G2:G6" type="date">
      <formula1>0</formula1>
      <formula2>0</formula2>
    </dataValidation>
    <dataValidation allowBlank="false" operator="equal" showDropDown="false" showErrorMessage="true" showInputMessage="false" sqref="A2:A6" type="list">
      <formula1>Employee_Numbers</formula1>
      <formula2>0</formula2>
    </dataValidation>
    <dataValidation allowBlank="false" operator="equal" showDropDown="false" showErrorMessage="true" showInputMessage="false" sqref="H2:H6" type="list">
      <formula1>Genders</formula1>
      <formula2>0</formula2>
    </dataValidation>
    <dataValidation allowBlank="false" operator="equal" showDropDown="false" showErrorMessage="true" showInputMessage="false" sqref="J2:J6" type="list">
      <formula1>Smoker_Statuses</formula1>
      <formula2>0</formula2>
    </dataValidation>
    <dataValidation allowBlank="false" operator="equal" showDropDown="false" showErrorMessage="true" showInputMessage="false" sqref="B2:B6" type="list">
      <formula1>Dependent_Types</formula1>
      <formula2>0</formula2>
    </dataValidation>
    <dataValidation allowBlank="false" operator="equal" showDropDown="false" showErrorMessage="true" showInputMessage="false" sqref="K2:K6" type="list">
      <formula1>Boolean</formula1>
      <formula2>0</formula2>
    </dataValidation>
    <dataValidation allowBlank="false" operator="equal" showDropDown="false" showErrorMessage="true" showInputMessage="false" sqref="L2:L6" type="list">
      <formula1>Boolean</formula1>
      <formula2>0</formula2>
    </dataValidation>
    <dataValidation allowBlank="true" operator="equal" showDropDown="false" showErrorMessage="true" showInputMessage="false" sqref="M2:M6" type="date">
      <formula1>0</formula1>
      <formula2>0</formula2>
    </dataValidation>
    <dataValidation allowBlank="false" operator="equal" showDropDown="false" showErrorMessage="true" showInputMessage="false" sqref="N2:N6" type="list">
      <formula1>Boolean</formula1>
      <formula2>0</formula2>
    </dataValidation>
    <dataValidation allowBlank="false" operator="equal" showDropDown="false" showErrorMessage="true" showInputMessage="false" sqref="R2:R6" type="list">
      <formula1>States</formula1>
      <formula2>0</formula2>
    </dataValidation>
    <dataValidation allowBlank="false" operator="equal" showDropDown="false" showErrorMessage="true" showInputMessage="false" sqref="I2:I6" type="list">
      <formula1>Marital_Statuses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4.98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11.81"/>
    <col collapsed="false" customWidth="true" hidden="false" outlineLevel="0" max="7" min="7" style="0" width="8.63"/>
    <col collapsed="false" customWidth="true" hidden="false" outlineLevel="0" max="8" min="8" style="0" width="11.26"/>
    <col collapsed="false" customWidth="true" hidden="false" outlineLevel="0" max="9" min="9" style="0" width="13.4"/>
    <col collapsed="false" customWidth="true" hidden="false" outlineLevel="0" max="10" min="10" style="0" width="13.02"/>
    <col collapsed="false" customWidth="true" hidden="false" outlineLevel="0" max="11" min="11" style="0" width="25.14"/>
    <col collapsed="false" customWidth="true" hidden="false" outlineLevel="0" max="13" min="12" style="0" width="7.6"/>
    <col collapsed="false" customWidth="true" hidden="false" outlineLevel="0" max="14" min="14" style="0" width="4.66"/>
    <col collapsed="false" customWidth="true" hidden="false" outlineLevel="0" max="15" min="15" style="0" width="5.86"/>
    <col collapsed="false" customWidth="true" hidden="false" outlineLevel="0" max="16" min="16" style="0" width="4.03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25</v>
      </c>
      <c r="B1" s="1" t="s">
        <v>116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1" t="s">
        <v>101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customFormat="false" ht="12.8" hidden="false" customHeight="false" outlineLevel="0" collapsed="false">
      <c r="A2" s="0" t="n">
        <v>2903</v>
      </c>
      <c r="B2" s="4" t="s">
        <v>117</v>
      </c>
      <c r="C2" s="0" t="s">
        <v>103</v>
      </c>
      <c r="D2" s="0" t="s">
        <v>104</v>
      </c>
      <c r="E2" s="0" t="s">
        <v>60</v>
      </c>
      <c r="F2" s="0" t="n">
        <v>2238972347</v>
      </c>
      <c r="G2" s="2" t="n">
        <v>36495</v>
      </c>
      <c r="H2" s="4" t="s">
        <v>78</v>
      </c>
      <c r="I2" s="4" t="s">
        <v>105</v>
      </c>
      <c r="J2" s="4" t="s">
        <v>63</v>
      </c>
      <c r="K2" s="4" t="s">
        <v>69</v>
      </c>
      <c r="L2" s="0" t="s">
        <v>118</v>
      </c>
      <c r="M2" s="0" t="s">
        <v>118</v>
      </c>
      <c r="N2" s="0" t="s">
        <v>118</v>
      </c>
      <c r="O2" s="4" t="s">
        <v>118</v>
      </c>
    </row>
  </sheetData>
  <dataValidations count="8">
    <dataValidation allowBlank="false" operator="equal" showDropDown="false" showErrorMessage="true" showInputMessage="false" sqref="G2" type="date">
      <formula1>0</formula1>
      <formula2>0</formula2>
    </dataValidation>
    <dataValidation allowBlank="false" operator="equal" showDropDown="false" showErrorMessage="true" showInputMessage="false" sqref="A2" type="list">
      <formula1>Employee_Numbers</formula1>
      <formula2>0</formula2>
    </dataValidation>
    <dataValidation allowBlank="false" operator="equal" showDropDown="false" showErrorMessage="true" showInputMessage="false" sqref="H2" type="list">
      <formula1>Genders</formula1>
      <formula2>0</formula2>
    </dataValidation>
    <dataValidation allowBlank="false" operator="equal" showDropDown="false" showErrorMessage="true" showInputMessage="false" sqref="J2" type="list">
      <formula1>Smoker_Statuses</formula1>
      <formula2>0</formula2>
    </dataValidation>
    <dataValidation allowBlank="false" operator="equal" showDropDown="false" showErrorMessage="true" showInputMessage="false" sqref="K2" type="list">
      <formula1>Boolean</formula1>
      <formula2>0</formula2>
    </dataValidation>
    <dataValidation allowBlank="false" operator="equal" showDropDown="false" showErrorMessage="true" showInputMessage="false" sqref="O2" type="list">
      <formula1>States</formula1>
      <formula2>0</formula2>
    </dataValidation>
    <dataValidation allowBlank="false" operator="equal" showDropDown="false" showErrorMessage="true" showInputMessage="false" sqref="B2" type="list">
      <formula1>Beneficiary_Types</formula1>
      <formula2>0</formula2>
    </dataValidation>
    <dataValidation allowBlank="false" operator="equal" showDropDown="false" showErrorMessage="true" showInputMessage="false" sqref="I2" type="list">
      <formula1>Marital_Statuses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I10" activeCellId="1" sqref="J:L I10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5.24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1.5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C1" s="0"/>
      <c r="AMD1" s="0"/>
      <c r="AME1" s="0"/>
      <c r="AMF1" s="0"/>
      <c r="AMG1" s="0"/>
      <c r="AMH1" s="0"/>
      <c r="AMI1" s="0"/>
      <c r="AMJ1" s="0"/>
    </row>
    <row r="2" s="4" customFormat="true" ht="42.85" hidden="false" customHeight="false" outlineLevel="0" collapsed="false">
      <c r="A2" s="4" t="s">
        <v>134</v>
      </c>
      <c r="B2" s="4" t="s">
        <v>135</v>
      </c>
      <c r="C2" s="4" t="s">
        <v>18</v>
      </c>
      <c r="D2" s="4" t="n">
        <v>8002545555</v>
      </c>
      <c r="E2" s="3" t="s">
        <v>136</v>
      </c>
      <c r="F2" s="5" t="s">
        <v>69</v>
      </c>
      <c r="H2" s="4" t="n">
        <v>90</v>
      </c>
      <c r="I2" s="6" t="s">
        <v>137</v>
      </c>
      <c r="J2" s="4" t="s">
        <v>138</v>
      </c>
      <c r="K2" s="7" t="n">
        <v>36892</v>
      </c>
      <c r="L2" s="7" t="n">
        <v>42736</v>
      </c>
      <c r="M2" s="5" t="s">
        <v>139</v>
      </c>
      <c r="N2" s="5" t="s">
        <v>106</v>
      </c>
      <c r="O2" s="5" t="s">
        <v>69</v>
      </c>
      <c r="P2" s="5" t="s">
        <v>69</v>
      </c>
      <c r="Q2" s="0" t="s">
        <v>140</v>
      </c>
      <c r="AMC2" s="0"/>
      <c r="AMD2" s="0"/>
      <c r="AME2" s="0"/>
      <c r="AMF2" s="0"/>
      <c r="AMG2" s="0"/>
      <c r="AMH2" s="0"/>
      <c r="AMI2" s="0"/>
      <c r="AMJ2" s="0"/>
    </row>
    <row r="3" s="4" customFormat="true" ht="40.25" hidden="false" customHeight="false" outlineLevel="0" collapsed="false">
      <c r="A3" s="4" t="s">
        <v>141</v>
      </c>
      <c r="B3" s="4" t="s">
        <v>142</v>
      </c>
      <c r="C3" s="4" t="s">
        <v>18</v>
      </c>
      <c r="D3" s="4" t="n">
        <v>8002545555</v>
      </c>
      <c r="E3" s="3" t="s">
        <v>136</v>
      </c>
      <c r="F3" s="5" t="s">
        <v>69</v>
      </c>
      <c r="G3" s="4" t="n">
        <v>200</v>
      </c>
      <c r="I3" s="6" t="s">
        <v>143</v>
      </c>
      <c r="J3" s="4" t="s">
        <v>138</v>
      </c>
      <c r="K3" s="7" t="n">
        <v>36161</v>
      </c>
      <c r="L3" s="7" t="n">
        <v>42736</v>
      </c>
      <c r="M3" s="5" t="s">
        <v>144</v>
      </c>
      <c r="N3" s="5" t="s">
        <v>69</v>
      </c>
      <c r="O3" s="5" t="s">
        <v>69</v>
      </c>
      <c r="P3" s="5" t="s">
        <v>69</v>
      </c>
      <c r="Q3" s="0" t="s">
        <v>145</v>
      </c>
      <c r="AMC3" s="0"/>
      <c r="AMD3" s="0"/>
      <c r="AME3" s="0"/>
      <c r="AMF3" s="0"/>
      <c r="AMG3" s="0"/>
      <c r="AMH3" s="0"/>
      <c r="AMI3" s="0"/>
      <c r="AMJ3" s="0"/>
    </row>
  </sheetData>
  <dataValidations count="10">
    <dataValidation allowBlank="false" operator="equal" showDropDown="false" showErrorMessage="true" showInputMessage="false" sqref="K2:L3" type="date">
      <formula1>0</formula1>
      <formula2>0</formula2>
    </dataValidation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M2:M3" type="list">
      <formula1>Billing_Type</formula1>
      <formula2>0</formula2>
    </dataValidation>
    <dataValidation allowBlank="false" operator="equal" showDropDown="false" showErrorMessage="true" showInputMessage="false" sqref="N2:N3" type="list">
      <formula1>Boolean</formula1>
      <formula2>0</formula2>
    </dataValidation>
    <dataValidation allowBlank="false" operator="equal" showDropDown="false" showErrorMessage="true" showInputMessage="false" sqref="O2:O3" type="list">
      <formula1>Boolean</formula1>
      <formula2>0</formula2>
    </dataValidation>
    <dataValidation allowBlank="false" operator="equal" showDropDown="false" showErrorMessage="true" showInputMessage="false" sqref="P2:P3" type="list">
      <formula1>Boolean</formula1>
      <formula2>0</formula2>
    </dataValidation>
    <dataValidation allowBlank="false" operator="equal" showDropDown="false" showErrorMessage="true" showInputMessage="false" sqref="C2:C3" type="list">
      <formula1>Carriers</formula1>
      <formula2>0</formula2>
    </dataValidation>
    <dataValidation allowBlank="false" operator="equal" showDropDown="false" showErrorMessage="true" showInputMessage="false" sqref="G2:G3" type="decimal">
      <formula1>0</formula1>
      <formula2>0</formula2>
    </dataValidation>
    <dataValidation allowBlank="true" operator="between" showDropDown="false" showErrorMessage="true" showInputMessage="false" sqref="H2:H3" type="decimal">
      <formula1>0</formula1>
      <formula2>100</formula2>
    </dataValidation>
    <dataValidation allowBlank="true" operator="equal" showDropDown="false" showErrorMessage="true" showInputMessage="false" sqref="I2:I3" type="none">
      <formula1>0</formula1>
      <formula2>0</formula2>
    </dataValidation>
  </dataValidations>
  <hyperlinks>
    <hyperlink ref="E2" r:id="rId1" display="https://www.aetna.com"/>
    <hyperlink ref="E3" r:id="rId2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K1" colorId="64" zoomScale="175" zoomScaleNormal="175" zoomScalePageLayoutView="100" workbookViewId="0">
      <selection pane="topLeft" activeCell="Q3" activeCellId="1" sqref="J:L Q3"/>
    </sheetView>
  </sheetViews>
  <sheetFormatPr defaultRowHeight="12.8" zeroHeight="false" outlineLevelRow="0" outlineLevelCol="0"/>
  <cols>
    <col collapsed="false" customWidth="true" hidden="false" outlineLevel="0" max="1" min="1" style="0" width="6.09"/>
    <col collapsed="false" customWidth="true" hidden="false" outlineLevel="0" max="2" min="2" style="0" width="12.0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8.08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8.08"/>
    <col collapsed="false" customWidth="true" hidden="false" outlineLevel="0" max="17" min="17" style="0" width="25.79"/>
    <col collapsed="false" customWidth="true" hidden="false" outlineLevel="0" max="19" min="18" style="0" width="37.06"/>
    <col collapsed="false" customWidth="true" hidden="false" outlineLevel="0" max="20" min="20" style="0" width="24.68"/>
    <col collapsed="false" customWidth="false" hidden="false" outlineLevel="0" max="1025" min="2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0"/>
      <c r="S1" s="0"/>
      <c r="T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49.95" hidden="false" customHeight="false" outlineLevel="0" collapsed="false">
      <c r="A2" s="0" t="s">
        <v>146</v>
      </c>
      <c r="B2" s="0" t="s">
        <v>147</v>
      </c>
      <c r="C2" s="5" t="s">
        <v>18</v>
      </c>
      <c r="D2" s="0" t="n">
        <v>8002545555</v>
      </c>
      <c r="E2" s="3" t="s">
        <v>136</v>
      </c>
      <c r="F2" s="5" t="s">
        <v>69</v>
      </c>
      <c r="G2" s="0" t="n">
        <v>100</v>
      </c>
      <c r="I2" s="6" t="s">
        <v>148</v>
      </c>
      <c r="J2" s="0" t="s">
        <v>138</v>
      </c>
      <c r="K2" s="2" t="n">
        <v>36161</v>
      </c>
      <c r="L2" s="2" t="n">
        <v>42736</v>
      </c>
      <c r="M2" s="5" t="s">
        <v>144</v>
      </c>
      <c r="N2" s="5" t="s">
        <v>69</v>
      </c>
      <c r="O2" s="5" t="s">
        <v>69</v>
      </c>
      <c r="P2" s="5" t="s">
        <v>69</v>
      </c>
      <c r="Q2" s="0" t="s">
        <v>145</v>
      </c>
    </row>
  </sheetData>
  <dataValidations count="7">
    <dataValidation allowBlank="false" operator="equal" showDropDown="false" showErrorMessage="true" showInputMessage="false" sqref="K2:L2" type="date">
      <formula1>0</formula1>
      <formula2>0</formula2>
    </dataValidation>
    <dataValidation allowBlank="false" operator="equal" showDropDown="false" showErrorMessage="true" showInputMessage="false" sqref="M2" type="list">
      <formula1>Billing_Type</formula1>
      <formula2>0</formula2>
    </dataValidation>
    <dataValidation allowBlank="false" operator="equal" showDropDown="false" showErrorMessage="true" showInputMessage="false" sqref="N2" type="list">
      <formula1>Boolean</formula1>
      <formula2>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true" operator="equal" showDropDown="false" showErrorMessage="true" showInputMessage="false" sqref="O2" type="list">
      <formula1>Boolean</formula1>
      <formula2>0</formula2>
    </dataValidation>
    <dataValidation allowBlank="true" operator="equal" showDropDown="false" showErrorMessage="true" showInputMessage="false" sqref="P2" type="list">
      <formula1>Boolean</formula1>
      <formula2>0</formula2>
    </dataValidation>
  </dataValidations>
  <hyperlinks>
    <hyperlink ref="E2" r:id="rId1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J1" colorId="64" zoomScale="175" zoomScaleNormal="175" zoomScalePageLayoutView="100" workbookViewId="0">
      <selection pane="topLeft" activeCell="Q3" activeCellId="1" sqref="J:L Q3"/>
    </sheetView>
  </sheetViews>
  <sheetFormatPr defaultRowHeight="12.8" zeroHeight="false" outlineLevelRow="0" outlineLevelCol="0"/>
  <cols>
    <col collapsed="false" customWidth="true" hidden="false" outlineLevel="0" max="1" min="1" style="0" width="6.09"/>
    <col collapsed="false" customWidth="true" hidden="false" outlineLevel="0" max="2" min="2" style="0" width="12.0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8.08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8.08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79.7" hidden="false" customHeight="true" outlineLevel="0" collapsed="false">
      <c r="A2" s="0" t="s">
        <v>149</v>
      </c>
      <c r="B2" s="0" t="s">
        <v>150</v>
      </c>
      <c r="C2" s="5" t="s">
        <v>18</v>
      </c>
      <c r="D2" s="0" t="n">
        <v>8002545555</v>
      </c>
      <c r="E2" s="3" t="s">
        <v>136</v>
      </c>
      <c r="F2" s="5" t="s">
        <v>69</v>
      </c>
      <c r="G2" s="0" t="n">
        <v>100</v>
      </c>
      <c r="I2" s="6" t="s">
        <v>148</v>
      </c>
      <c r="J2" s="0" t="s">
        <v>138</v>
      </c>
      <c r="K2" s="2" t="n">
        <v>36161</v>
      </c>
      <c r="L2" s="2" t="n">
        <v>42736</v>
      </c>
      <c r="M2" s="5" t="s">
        <v>139</v>
      </c>
      <c r="N2" s="5" t="s">
        <v>69</v>
      </c>
      <c r="O2" s="5" t="s">
        <v>69</v>
      </c>
      <c r="P2" s="5" t="s">
        <v>69</v>
      </c>
      <c r="Q2" s="0" t="s">
        <v>145</v>
      </c>
    </row>
  </sheetData>
  <dataValidations count="9">
    <dataValidation allowBlank="false" operator="equal" showDropDown="false" showErrorMessage="true" showInputMessage="false" sqref="F2" type="list">
      <formula1>Boolean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K2:L2" type="date">
      <formula1>0</formula1>
      <formula2>0</formula2>
    </dataValidation>
    <dataValidation allowBlank="true" operator="equal" showDropDown="false" showErrorMessage="true" showInputMessage="false" sqref="T2:U2" type="date">
      <formula1>0</formula1>
      <formula2>0</formula2>
    </dataValidation>
    <dataValidation allowBlank="false" operator="equal" showDropDown="false" showErrorMessage="true" showInputMessage="false" sqref="M2" type="list">
      <formula1>Billing_Type</formula1>
      <formula2>0</formula2>
    </dataValidation>
    <dataValidation allowBlank="false" operator="equal" showDropDown="false" showErrorMessage="true" showInputMessage="false" sqref="N2" type="list">
      <formula1>Boolean</formula1>
      <formula2>0</formula2>
    </dataValidation>
    <dataValidation allowBlank="true" operator="equal" showDropDown="false" showErrorMessage="true" showInputMessage="false" sqref="R2:S2 V2:W2" type="decimal">
      <formula1>0</formula1>
      <formula2>0</formula2>
    </dataValidation>
    <dataValidation allowBlank="true" operator="equal" showDropDown="false" showErrorMessage="true" showInputMessage="false" sqref="O2" type="list">
      <formula1>Boolean</formula1>
      <formula2>0</formula2>
    </dataValidation>
    <dataValidation allowBlank="true" operator="equal" showDropDown="false" showErrorMessage="true" showInputMessage="false" sqref="P2" type="list">
      <formula1>Boolean</formula1>
      <formula2>0</formula2>
    </dataValidation>
  </dataValidations>
  <hyperlinks>
    <hyperlink ref="E2" r:id="rId1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L1" colorId="64" zoomScale="175" zoomScaleNormal="175" zoomScalePageLayoutView="100" workbookViewId="0">
      <selection pane="topLeft" activeCell="I1" activeCellId="1" sqref="J:L I1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2" activeCellId="1" sqref="J:L A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C1" colorId="64" zoomScale="175" zoomScaleNormal="175" zoomScalePageLayoutView="100" workbookViewId="0">
      <selection pane="topLeft" activeCell="D2" activeCellId="1" sqref="J:L D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2" activeCellId="1" sqref="J:L A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R1" colorId="64" zoomScale="175" zoomScaleNormal="175" zoomScalePageLayoutView="100" workbookViewId="0">
      <selection pane="topLeft" activeCell="S2" activeCellId="1" sqref="J:L S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6" min="15" style="0" width="30.7"/>
    <col collapsed="false" customWidth="true" hidden="false" outlineLevel="0" max="17" min="17" style="0" width="56.83"/>
    <col collapsed="false" customWidth="true" hidden="false" outlineLevel="0" max="18" min="18" style="0" width="65.96"/>
    <col collapsed="false" customWidth="true" hidden="false" outlineLevel="0" max="19" min="19" style="0" width="37.06"/>
    <col collapsed="false" customWidth="false" hidden="false" outlineLevel="0" max="1025" min="2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AMF1" s="0"/>
      <c r="AMG1" s="0"/>
      <c r="AMH1" s="0"/>
      <c r="AMI1" s="0"/>
      <c r="AMJ1" s="0"/>
    </row>
    <row r="2" customFormat="false" ht="154.7" hidden="false" customHeight="tru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</v>
      </c>
      <c r="K2" s="0" t="n">
        <v>2500</v>
      </c>
      <c r="L2" s="0" t="n">
        <v>2</v>
      </c>
      <c r="M2" s="0" t="n">
        <v>5000</v>
      </c>
      <c r="N2" s="0" t="n">
        <v>2500</v>
      </c>
      <c r="O2" s="0" t="n">
        <v>750</v>
      </c>
      <c r="P2" s="6" t="s">
        <v>164</v>
      </c>
      <c r="Q2" s="0" t="n">
        <v>2</v>
      </c>
      <c r="R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L1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5.33"/>
    <col collapsed="false" customWidth="true" hidden="false" outlineLevel="0" max="11" min="11" style="0" width="20.63"/>
    <col collapsed="false" customWidth="true" hidden="false" outlineLevel="0" max="12" min="12" style="0" width="21.1"/>
    <col collapsed="false" customWidth="true" hidden="false" outlineLevel="0" max="13" min="13" style="0" width="52.39"/>
    <col collapsed="false" customWidth="true" hidden="false" outlineLevel="0" max="14" min="14" style="0" width="56.83"/>
    <col collapsed="false" customWidth="true" hidden="false" outlineLevel="0" max="15" min="15" style="0" width="65.96"/>
    <col collapsed="false" customWidth="true" hidden="false" outlineLevel="0" max="16" min="16" style="0" width="15.08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165</v>
      </c>
      <c r="K1" s="1" t="s">
        <v>166</v>
      </c>
      <c r="L1" s="1" t="s">
        <v>167</v>
      </c>
      <c r="M1" s="1" t="s">
        <v>156</v>
      </c>
      <c r="N1" s="1" t="s">
        <v>158</v>
      </c>
      <c r="O1" s="1" t="s">
        <v>159</v>
      </c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168</v>
      </c>
      <c r="B2" s="0" t="s">
        <v>169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20000</v>
      </c>
      <c r="K2" s="0" t="n">
        <v>100000</v>
      </c>
      <c r="L2" s="0" t="n">
        <v>200000</v>
      </c>
      <c r="M2" s="0" t="n">
        <v>10000</v>
      </c>
      <c r="N2" s="0" t="n">
        <v>2</v>
      </c>
      <c r="O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N1" colorId="64" zoomScale="175" zoomScaleNormal="175" zoomScalePageLayoutView="100" workbookViewId="0">
      <selection pane="topLeft" activeCell="J2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9.44"/>
    <col collapsed="false" customWidth="true" hidden="false" outlineLevel="0" max="11" min="11" style="0" width="25.33"/>
    <col collapsed="false" customWidth="true" hidden="false" outlineLevel="0" max="12" min="12" style="0" width="20.63"/>
    <col collapsed="false" customWidth="true" hidden="false" outlineLevel="0" max="13" min="13" style="0" width="21.1"/>
    <col collapsed="false" customWidth="true" hidden="false" outlineLevel="0" max="14" min="14" style="0" width="52.39"/>
    <col collapsed="false" customWidth="true" hidden="false" outlineLevel="0" max="15" min="15" style="0" width="56.83"/>
    <col collapsed="false" customWidth="true" hidden="false" outlineLevel="0" max="16" min="16" style="0" width="65.96"/>
    <col collapsed="false" customWidth="true" hidden="false" outlineLevel="0" max="17" min="17" style="0" width="15.08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170</v>
      </c>
      <c r="K1" s="1" t="s">
        <v>165</v>
      </c>
      <c r="L1" s="1" t="s">
        <v>166</v>
      </c>
      <c r="M1" s="1" t="s">
        <v>167</v>
      </c>
      <c r="N1" s="1" t="s">
        <v>156</v>
      </c>
      <c r="O1" s="1" t="s">
        <v>158</v>
      </c>
      <c r="P1" s="1" t="s">
        <v>159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168</v>
      </c>
      <c r="B2" s="0" t="s">
        <v>171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4" t="s">
        <v>69</v>
      </c>
      <c r="K2" s="0" t="n">
        <v>20000</v>
      </c>
      <c r="L2" s="0" t="n">
        <v>100000</v>
      </c>
      <c r="M2" s="0" t="n">
        <v>200000</v>
      </c>
      <c r="N2" s="0" t="n">
        <v>10000</v>
      </c>
      <c r="O2" s="0" t="n">
        <v>2</v>
      </c>
      <c r="P2" s="0" t="n">
        <v>1</v>
      </c>
    </row>
  </sheetData>
  <dataValidations count="5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  <dataValidation allowBlank="false" operator="equal" showDropDown="false" showErrorMessage="true" showInputMessage="false" sqref="J2" type="list">
      <formula1>Boolean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J1" colorId="64" zoomScale="175" zoomScaleNormal="175" zoomScalePageLayoutView="100" workbookViewId="0">
      <selection pane="topLeft" activeCell="L1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5.33"/>
    <col collapsed="false" customWidth="true" hidden="false" outlineLevel="0" max="11" min="11" style="0" width="20.63"/>
    <col collapsed="false" customWidth="true" hidden="false" outlineLevel="0" max="12" min="12" style="0" width="21.1"/>
    <col collapsed="false" customWidth="true" hidden="false" outlineLevel="0" max="13" min="13" style="0" width="52.39"/>
    <col collapsed="false" customWidth="true" hidden="false" outlineLevel="0" max="14" min="14" style="0" width="56.83"/>
    <col collapsed="false" customWidth="true" hidden="false" outlineLevel="0" max="15" min="15" style="0" width="65.96"/>
    <col collapsed="false" customWidth="true" hidden="false" outlineLevel="0" max="16" min="16" style="0" width="15.08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165</v>
      </c>
      <c r="K1" s="1" t="s">
        <v>166</v>
      </c>
      <c r="L1" s="1" t="s">
        <v>167</v>
      </c>
      <c r="M1" s="1" t="s">
        <v>156</v>
      </c>
      <c r="N1" s="1" t="s">
        <v>158</v>
      </c>
      <c r="O1" s="1" t="s">
        <v>159</v>
      </c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172</v>
      </c>
      <c r="B2" s="0" t="s">
        <v>173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174</v>
      </c>
      <c r="J2" s="0" t="n">
        <v>20000</v>
      </c>
      <c r="K2" s="0" t="n">
        <v>100000</v>
      </c>
      <c r="L2" s="0" t="n">
        <v>200000</v>
      </c>
      <c r="M2" s="0" t="n">
        <v>10000</v>
      </c>
      <c r="N2" s="0" t="n">
        <v>2</v>
      </c>
      <c r="O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J1" colorId="64" zoomScale="175" zoomScaleNormal="175" zoomScalePageLayoutView="100" workbookViewId="0">
      <selection pane="topLeft" activeCell="L1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5.33"/>
    <col collapsed="false" customWidth="true" hidden="false" outlineLevel="0" max="11" min="11" style="0" width="20.63"/>
    <col collapsed="false" customWidth="true" hidden="false" outlineLevel="0" max="12" min="12" style="0" width="21.1"/>
    <col collapsed="false" customWidth="true" hidden="false" outlineLevel="0" max="13" min="13" style="0" width="35.23"/>
    <col collapsed="false" customWidth="false" hidden="false" outlineLevel="0" max="1025" min="1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165</v>
      </c>
      <c r="K1" s="1" t="s">
        <v>166</v>
      </c>
      <c r="L1" s="1" t="s">
        <v>167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4.55" hidden="false" customHeight="true" outlineLevel="0" collapsed="false">
      <c r="A2" s="0" t="s">
        <v>160</v>
      </c>
      <c r="B2" s="0" t="s">
        <v>175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20000</v>
      </c>
      <c r="K2" s="0" t="n">
        <v>100000</v>
      </c>
      <c r="L2" s="0" t="n">
        <v>200000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H2" activeCellId="1" sqref="J:L H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5" min="15" style="0" width="30.7"/>
    <col collapsed="false" customWidth="true" hidden="false" outlineLevel="0" max="16" min="16" style="0" width="56.83"/>
    <col collapsed="false" customWidth="true" hidden="false" outlineLevel="0" max="17" min="17" style="0" width="65.96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157</v>
      </c>
      <c r="P1" s="1" t="s">
        <v>158</v>
      </c>
      <c r="Q1" s="1" t="s">
        <v>159</v>
      </c>
      <c r="AMD1" s="0"/>
      <c r="AME1" s="0"/>
      <c r="AMF1" s="0"/>
      <c r="AMG1" s="0"/>
      <c r="AMH1" s="0"/>
      <c r="AMI1" s="0"/>
      <c r="AMJ1" s="0"/>
    </row>
    <row r="2" customFormat="false" ht="117.9" hidden="false" customHeight="fals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100000</v>
      </c>
      <c r="K2" s="0" t="n">
        <v>250000</v>
      </c>
      <c r="L2" s="0" t="n">
        <v>2</v>
      </c>
      <c r="M2" s="0" t="n">
        <v>5000</v>
      </c>
      <c r="N2" s="0" t="n">
        <v>2500</v>
      </c>
      <c r="O2" s="6" t="s">
        <v>164</v>
      </c>
      <c r="P2" s="0" t="n">
        <v>2</v>
      </c>
      <c r="Q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H2" activeCellId="1" sqref="J:L H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5" min="15" style="0" width="30.7"/>
    <col collapsed="false" customWidth="true" hidden="false" outlineLevel="0" max="16" min="16" style="0" width="56.83"/>
    <col collapsed="false" customWidth="true" hidden="false" outlineLevel="0" max="17" min="17" style="0" width="65.96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157</v>
      </c>
      <c r="P1" s="1" t="s">
        <v>158</v>
      </c>
      <c r="Q1" s="1" t="s">
        <v>159</v>
      </c>
      <c r="AMD1" s="0"/>
      <c r="AME1" s="0"/>
      <c r="AMF1" s="0"/>
      <c r="AMG1" s="0"/>
      <c r="AMH1" s="0"/>
      <c r="AMI1" s="0"/>
      <c r="AMJ1" s="0"/>
    </row>
    <row r="2" customFormat="false" ht="117.9" hidden="false" customHeight="fals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100000</v>
      </c>
      <c r="K2" s="0" t="n">
        <v>250000</v>
      </c>
      <c r="L2" s="0" t="n">
        <v>2</v>
      </c>
      <c r="M2" s="0" t="n">
        <v>5000</v>
      </c>
      <c r="N2" s="0" t="n">
        <v>2500</v>
      </c>
      <c r="O2" s="6" t="s">
        <v>164</v>
      </c>
      <c r="P2" s="0" t="n">
        <v>2</v>
      </c>
      <c r="Q2" s="0" t="n">
        <v>1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1" sqref="J:L I2"/>
    </sheetView>
  </sheetViews>
  <sheetFormatPr defaultRowHeight="12.8" zeroHeight="false" outlineLevelRow="0" outlineLevelCol="0"/>
  <cols>
    <col collapsed="false" customWidth="true" hidden="false" outlineLevel="0" max="1" min="1" style="0" width="8.94"/>
    <col collapsed="false" customWidth="true" hidden="false" outlineLevel="0" max="2" min="2" style="0" width="28.7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6.89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3.72"/>
    <col collapsed="false" customWidth="true" hidden="false" outlineLevel="0" max="11" min="11" style="0" width="20.3"/>
    <col collapsed="false" customWidth="true" hidden="false" outlineLevel="0" max="13" min="12" style="0" width="37.06"/>
    <col collapsed="false" customWidth="true" hidden="false" outlineLevel="0" max="14" min="14" style="0" width="15.0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176</v>
      </c>
      <c r="K1" s="1" t="s">
        <v>177</v>
      </c>
      <c r="L1" s="0"/>
      <c r="M1" s="0"/>
      <c r="N1" s="0"/>
    </row>
    <row r="2" customFormat="false" ht="125.1" hidden="false" customHeight="false" outlineLevel="0" collapsed="false">
      <c r="A2" s="0" t="s">
        <v>178</v>
      </c>
      <c r="B2" s="0" t="s">
        <v>179</v>
      </c>
      <c r="C2" s="4" t="s">
        <v>18</v>
      </c>
      <c r="D2" s="0" t="n">
        <v>8009889789</v>
      </c>
      <c r="E2" s="3" t="s">
        <v>180</v>
      </c>
      <c r="F2" s="5" t="s">
        <v>69</v>
      </c>
      <c r="G2" s="4"/>
      <c r="H2" s="4" t="n">
        <v>100</v>
      </c>
      <c r="I2" s="6" t="s">
        <v>163</v>
      </c>
      <c r="J2" s="0" t="n">
        <v>60</v>
      </c>
      <c r="K2" s="0" t="n">
        <v>10000</v>
      </c>
    </row>
    <row r="3" customFormat="false" ht="125.1" hidden="false" customHeight="false" outlineLevel="0" collapsed="false">
      <c r="A3" s="0" t="s">
        <v>181</v>
      </c>
      <c r="B3" s="0" t="s">
        <v>182</v>
      </c>
      <c r="C3" s="4" t="s">
        <v>18</v>
      </c>
      <c r="D3" s="0" t="n">
        <v>8009889789</v>
      </c>
      <c r="E3" s="3" t="s">
        <v>183</v>
      </c>
      <c r="F3" s="5" t="s">
        <v>69</v>
      </c>
      <c r="G3" s="0" t="n">
        <v>25</v>
      </c>
      <c r="I3" s="6" t="s">
        <v>163</v>
      </c>
      <c r="J3" s="0" t="n">
        <v>70</v>
      </c>
      <c r="K3" s="0" t="n">
        <v>12000</v>
      </c>
    </row>
  </sheetData>
  <dataValidations count="4"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:C3" type="list">
      <formula1>Carriers</formula1>
      <formula2>0</formula2>
    </dataValidation>
  </dataValidations>
  <hyperlinks>
    <hyperlink ref="E2" r:id="rId1" display="https://ltd.com"/>
    <hyperlink ref="E3" r:id="rId2" display="http://l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J2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3.0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2.76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6.9"/>
    <col collapsed="false" customWidth="true" hidden="false" outlineLevel="0" max="11" min="11" style="0" width="19.19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184</v>
      </c>
      <c r="K1" s="1" t="s">
        <v>185</v>
      </c>
      <c r="AMJ1" s="0"/>
    </row>
    <row r="2" customFormat="false" ht="125.1" hidden="false" customHeight="false" outlineLevel="0" collapsed="false">
      <c r="A2" s="0" t="s">
        <v>186</v>
      </c>
      <c r="B2" s="0" t="s">
        <v>187</v>
      </c>
      <c r="C2" s="4" t="s">
        <v>18</v>
      </c>
      <c r="D2" s="0" t="n">
        <v>8009889789</v>
      </c>
      <c r="E2" s="3" t="s">
        <v>180</v>
      </c>
      <c r="F2" s="5" t="s">
        <v>69</v>
      </c>
      <c r="G2" s="4"/>
      <c r="H2" s="0" t="n">
        <v>100</v>
      </c>
      <c r="I2" s="6" t="s">
        <v>163</v>
      </c>
      <c r="J2" s="0" t="n">
        <v>60</v>
      </c>
      <c r="K2" s="0" t="n">
        <v>10000</v>
      </c>
      <c r="L2" s="4"/>
      <c r="M2" s="4"/>
      <c r="N2" s="6"/>
    </row>
  </sheetData>
  <dataValidations count="6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L2" type="decimal">
      <formula1>0</formula1>
      <formula2>0</formula2>
    </dataValidation>
    <dataValidation allowBlank="true" operator="between" showDropDown="false" showErrorMessage="true" showInputMessage="false" sqref="M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ltd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I2" activeCellId="1" sqref="J:L I2"/>
    </sheetView>
  </sheetViews>
  <sheetFormatPr defaultRowHeight="12.8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18.3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78"/>
    <col collapsed="false" customWidth="true" hidden="false" outlineLevel="0" max="10" min="10" style="0" width="26.9"/>
    <col collapsed="false" customWidth="true" hidden="false" outlineLevel="0" max="11" min="11" style="0" width="22.93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184</v>
      </c>
      <c r="K1" s="1" t="s">
        <v>188</v>
      </c>
      <c r="L1" s="0"/>
      <c r="M1" s="0"/>
      <c r="N1" s="0"/>
      <c r="AMD1" s="0"/>
      <c r="AME1" s="0"/>
      <c r="AMF1" s="0"/>
      <c r="AMG1" s="0"/>
      <c r="AMH1" s="0"/>
      <c r="AMI1" s="0"/>
      <c r="AMJ1" s="0"/>
    </row>
    <row r="2" customFormat="false" ht="73.7" hidden="false" customHeight="false" outlineLevel="0" collapsed="false">
      <c r="A2" s="0" t="s">
        <v>189</v>
      </c>
      <c r="B2" s="0" t="s">
        <v>190</v>
      </c>
      <c r="C2" s="4" t="s">
        <v>18</v>
      </c>
      <c r="D2" s="0" t="n">
        <v>8009889789</v>
      </c>
      <c r="E2" s="3" t="s">
        <v>191</v>
      </c>
      <c r="F2" s="5" t="s">
        <v>69</v>
      </c>
      <c r="G2" s="4"/>
      <c r="H2" s="4" t="n">
        <v>0</v>
      </c>
      <c r="I2" s="6" t="s">
        <v>192</v>
      </c>
      <c r="J2" s="0" t="n">
        <v>60</v>
      </c>
      <c r="K2" s="0" t="n">
        <v>1000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s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I2" activeCellId="1" sqref="J:L I2"/>
    </sheetView>
  </sheetViews>
  <sheetFormatPr defaultRowHeight="12.8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18.3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78"/>
    <col collapsed="false" customWidth="true" hidden="false" outlineLevel="0" max="10" min="10" style="0" width="26.9"/>
    <col collapsed="false" customWidth="true" hidden="false" outlineLevel="0" max="11" min="11" style="0" width="22.93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184</v>
      </c>
      <c r="K1" s="1" t="s">
        <v>188</v>
      </c>
      <c r="L1" s="0"/>
      <c r="M1" s="0"/>
      <c r="N1" s="0"/>
      <c r="AMD1" s="0"/>
      <c r="AME1" s="0"/>
      <c r="AMF1" s="0"/>
      <c r="AMG1" s="0"/>
      <c r="AMH1" s="0"/>
      <c r="AMI1" s="0"/>
      <c r="AMJ1" s="0"/>
    </row>
    <row r="2" customFormat="false" ht="73.7" hidden="false" customHeight="false" outlineLevel="0" collapsed="false">
      <c r="A2" s="0" t="s">
        <v>189</v>
      </c>
      <c r="B2" s="0" t="s">
        <v>190</v>
      </c>
      <c r="C2" s="4" t="s">
        <v>18</v>
      </c>
      <c r="D2" s="0" t="n">
        <v>8009889789</v>
      </c>
      <c r="E2" s="3" t="s">
        <v>191</v>
      </c>
      <c r="F2" s="5" t="s">
        <v>69</v>
      </c>
      <c r="G2" s="4"/>
      <c r="H2" s="4" t="n">
        <v>100</v>
      </c>
      <c r="I2" s="6" t="s">
        <v>192</v>
      </c>
      <c r="J2" s="0" t="n">
        <v>60</v>
      </c>
      <c r="K2" s="0" t="n">
        <v>1000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s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J1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3.1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1" min="10" style="0" width="37.06"/>
    <col collapsed="false" customWidth="false" hidden="false" outlineLevel="0" max="1025" min="12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193</v>
      </c>
      <c r="K1" s="0"/>
      <c r="L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194</v>
      </c>
      <c r="B2" s="0" t="s">
        <v>195</v>
      </c>
      <c r="C2" s="4" t="s">
        <v>18</v>
      </c>
      <c r="D2" s="0" t="n">
        <v>8009889789</v>
      </c>
      <c r="E2" s="3" t="s">
        <v>196</v>
      </c>
      <c r="F2" s="5" t="s">
        <v>69</v>
      </c>
      <c r="G2" s="4"/>
      <c r="H2" s="4" t="n">
        <v>0</v>
      </c>
      <c r="J2" s="0" t="n">
        <v>120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fsa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E1" colorId="64" zoomScale="175" zoomScaleNormal="175" zoomScalePageLayoutView="100" workbookViewId="0">
      <selection pane="topLeft" activeCell="J3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3.1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6.48"/>
    <col collapsed="false" customWidth="true" hidden="false" outlineLevel="0" max="10" min="10" style="0" width="20.56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197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194</v>
      </c>
      <c r="B2" s="0" t="s">
        <v>195</v>
      </c>
      <c r="C2" s="4" t="s">
        <v>18</v>
      </c>
      <c r="D2" s="0" t="n">
        <v>8009889789</v>
      </c>
      <c r="E2" s="3" t="s">
        <v>196</v>
      </c>
      <c r="F2" s="5" t="s">
        <v>69</v>
      </c>
      <c r="G2" s="4"/>
      <c r="H2" s="4"/>
      <c r="I2" s="5"/>
      <c r="J2" s="0" t="n">
        <v>100</v>
      </c>
    </row>
  </sheetData>
  <dataValidations count="4">
    <dataValidation allowBlank="false" operator="equal" showDropDown="false" showErrorMessage="true" showInputMessage="false" sqref="F2 I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fsa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G1" colorId="64" zoomScale="175" zoomScaleNormal="175" zoomScalePageLayoutView="100" workbookViewId="0">
      <selection pane="topLeft" activeCell="J2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20.94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10" min="9" style="0" width="20.56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197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198</v>
      </c>
      <c r="B2" s="0" t="s">
        <v>199</v>
      </c>
      <c r="C2" s="4" t="s">
        <v>18</v>
      </c>
      <c r="D2" s="0" t="n">
        <v>8009889789</v>
      </c>
      <c r="E2" s="3" t="s">
        <v>200</v>
      </c>
      <c r="F2" s="5" t="s">
        <v>69</v>
      </c>
      <c r="G2" s="4"/>
      <c r="H2" s="4"/>
      <c r="I2" s="5"/>
      <c r="J2" s="0" t="n">
        <v>120</v>
      </c>
    </row>
  </sheetData>
  <dataValidations count="4">
    <dataValidation allowBlank="false" operator="equal" showDropDown="false" showErrorMessage="true" showInputMessage="false" sqref="F2 I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J1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20.94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56"/>
    <col collapsed="false" customWidth="true" hidden="false" outlineLevel="0" max="11" min="10" style="0" width="37.06"/>
    <col collapsed="false" customWidth="false" hidden="false" outlineLevel="0" max="1025" min="12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201</v>
      </c>
      <c r="J1" s="0"/>
      <c r="K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202</v>
      </c>
      <c r="B2" s="0" t="s">
        <v>203</v>
      </c>
      <c r="C2" s="4" t="s">
        <v>18</v>
      </c>
      <c r="D2" s="0" t="n">
        <v>8009889789</v>
      </c>
      <c r="E2" s="3" t="s">
        <v>200</v>
      </c>
      <c r="F2" s="5" t="s">
        <v>69</v>
      </c>
      <c r="G2" s="4"/>
      <c r="H2" s="4" t="n">
        <v>0</v>
      </c>
      <c r="I2" s="4"/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:I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L3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4.43"/>
    <col collapsed="false" customWidth="true" hidden="false" outlineLevel="0" max="4" min="3" style="0" width="18.08"/>
    <col collapsed="false" customWidth="true" hidden="false" outlineLevel="0" max="5" min="5" style="0" width="15.9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10" min="9" style="0" width="40.88"/>
    <col collapsed="false" customWidth="true" hidden="false" outlineLevel="0" max="11" min="11" style="0" width="27.45"/>
    <col collapsed="false" customWidth="true" hidden="false" outlineLevel="0" max="12" min="12" style="0" width="20.56"/>
    <col collapsed="false" customWidth="false" hidden="false" outlineLevel="0" max="1025" min="13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204</v>
      </c>
      <c r="K1" s="1" t="s">
        <v>205</v>
      </c>
      <c r="L1" s="1" t="s">
        <v>197</v>
      </c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206</v>
      </c>
      <c r="B2" s="0" t="s">
        <v>207</v>
      </c>
      <c r="C2" s="0" t="s">
        <v>18</v>
      </c>
      <c r="D2" s="0" t="n">
        <v>8009889789</v>
      </c>
      <c r="E2" s="3" t="s">
        <v>208</v>
      </c>
      <c r="F2" s="5" t="s">
        <v>69</v>
      </c>
      <c r="G2" s="4"/>
      <c r="H2" s="4"/>
      <c r="I2" s="5"/>
      <c r="J2" s="4" t="n">
        <v>100</v>
      </c>
      <c r="K2" s="0" t="n">
        <v>5000</v>
      </c>
      <c r="L2" s="0" t="n">
        <v>1000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true" operator="between" showDropDown="false" showErrorMessage="true" showInputMessage="false" sqref="J2" type="decimal">
      <formula1>0</formula1>
      <formula2>100</formula2>
    </dataValidation>
    <dataValidation allowBlank="false" operator="equal" showDropDown="false" showErrorMessage="true" showInputMessage="false" sqref="F2 I2" type="list">
      <formula1>Boolean</formula1>
      <formula2>0</formula2>
    </dataValidation>
  </dataValidations>
  <hyperlinks>
    <hyperlink ref="E2" r:id="rId1" display="https://e401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B3" activeCellId="1" sqref="J:L B3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8.8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5.9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209</v>
      </c>
      <c r="B2" s="0" t="s">
        <v>210</v>
      </c>
      <c r="C2" s="0" t="s">
        <v>18</v>
      </c>
      <c r="D2" s="0" t="n">
        <v>18002437888</v>
      </c>
      <c r="E2" s="3" t="s">
        <v>211</v>
      </c>
      <c r="F2" s="5" t="s">
        <v>69</v>
      </c>
      <c r="G2" s="4"/>
      <c r="H2" s="0" t="n">
        <v>250</v>
      </c>
    </row>
  </sheetData>
  <dataValidations count="2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</dataValidations>
  <hyperlinks>
    <hyperlink ref="E2" r:id="rId1" display="http://eap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1" sqref="J:L I2"/>
    </sheetView>
  </sheetViews>
  <sheetFormatPr defaultRowHeight="12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4.7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6.81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53.91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248.55" hidden="false" customHeight="false" outlineLevel="0" collapsed="false">
      <c r="A2" s="0" t="s">
        <v>212</v>
      </c>
      <c r="B2" s="0" t="s">
        <v>213</v>
      </c>
      <c r="C2" s="0" t="s">
        <v>18</v>
      </c>
      <c r="D2" s="0" t="n">
        <v>8009889789</v>
      </c>
      <c r="E2" s="3" t="s">
        <v>214</v>
      </c>
      <c r="F2" s="5" t="s">
        <v>69</v>
      </c>
      <c r="G2" s="4"/>
      <c r="I2" s="6" t="s">
        <v>215</v>
      </c>
    </row>
  </sheetData>
  <dataValidations count="2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</dataValidations>
  <hyperlinks>
    <hyperlink ref="E2" r:id="rId1" display="http://ltc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1" sqref="J:L I2"/>
    </sheetView>
  </sheetViews>
  <sheetFormatPr defaultRowHeight="12.8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6.0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2.29"/>
    <col collapsed="false" customWidth="true" hidden="false" outlineLevel="0" max="6" min="6" style="0" width="6.73"/>
    <col collapsed="false" customWidth="true" hidden="false" outlineLevel="0" max="7" min="7" style="0" width="37.06"/>
    <col collapsed="false" customWidth="true" hidden="false" outlineLevel="0" max="8" min="8" style="0" width="33.52"/>
    <col collapsed="false" customWidth="true" hidden="false" outlineLevel="0" max="9" min="9" style="0" width="58.83"/>
    <col collapsed="false" customWidth="true" hidden="false" outlineLevel="0" max="10" min="10" style="0" width="18.08"/>
    <col collapsed="false" customWidth="true" hidden="false" outlineLevel="0" max="11" min="11" style="0" width="15.94"/>
    <col collapsed="false" customWidth="true" hidden="false" outlineLevel="0" max="12" min="12" style="0" width="21.17"/>
    <col collapsed="false" customWidth="true" hidden="false" outlineLevel="0" max="13" min="13" style="0" width="19.36"/>
    <col collapsed="false" customWidth="true" hidden="false" outlineLevel="0" max="16" min="14" style="0" width="15.62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121</v>
      </c>
      <c r="K1" s="1" t="s">
        <v>122</v>
      </c>
      <c r="AMG1" s="0"/>
      <c r="AMH1" s="0"/>
      <c r="AMI1" s="0"/>
      <c r="AMJ1" s="0"/>
    </row>
    <row r="2" customFormat="false" ht="293.95" hidden="false" customHeight="true" outlineLevel="0" collapsed="false">
      <c r="A2" s="0" t="s">
        <v>216</v>
      </c>
      <c r="B2" s="0" t="s">
        <v>217</v>
      </c>
      <c r="C2" s="0" t="s">
        <v>18</v>
      </c>
      <c r="D2" s="0" t="n">
        <v>8009889789</v>
      </c>
      <c r="E2" s="3" t="s">
        <v>218</v>
      </c>
      <c r="F2" s="5" t="s">
        <v>69</v>
      </c>
      <c r="G2" s="4" t="n">
        <v>0</v>
      </c>
      <c r="H2" s="4"/>
      <c r="I2" s="6" t="s">
        <v>219</v>
      </c>
      <c r="J2" s="0" t="n">
        <v>8009889789</v>
      </c>
      <c r="K2" s="3" t="s">
        <v>208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://cip.com"/>
    <hyperlink ref="K2" r:id="rId2" display="https://e401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E1" colorId="64" zoomScale="175" zoomScaleNormal="175" zoomScalePageLayoutView="100" workbookViewId="0">
      <selection pane="topLeft" activeCell="I4" activeCellId="1" sqref="J:L I4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20.56"/>
    <col collapsed="false" customWidth="true" hidden="false" outlineLevel="0" max="11" min="11" style="0" width="21.17"/>
    <col collapsed="false" customWidth="true" hidden="false" outlineLevel="0" max="12" min="12" style="0" width="19.36"/>
    <col collapsed="false" customWidth="true" hidden="false" outlineLevel="0" max="15" min="13" style="0" width="15.62"/>
    <col collapsed="false" customWidth="false" hidden="false" outlineLevel="0" max="1025" min="16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H1" s="0"/>
      <c r="AMI1" s="0"/>
      <c r="AMJ1" s="0"/>
    </row>
    <row r="2" customFormat="false" ht="42.85" hidden="false" customHeight="false" outlineLevel="0" collapsed="false">
      <c r="A2" s="0" t="s">
        <v>220</v>
      </c>
      <c r="B2" s="0" t="s">
        <v>221</v>
      </c>
      <c r="C2" s="0" t="s">
        <v>18</v>
      </c>
      <c r="D2" s="0" t="n">
        <v>8009889789</v>
      </c>
      <c r="E2" s="3" t="s">
        <v>222</v>
      </c>
      <c r="F2" s="5" t="s">
        <v>69</v>
      </c>
      <c r="G2" s="4"/>
      <c r="H2" s="4" t="n">
        <v>0.8</v>
      </c>
      <c r="I2" s="8" t="s">
        <v>137</v>
      </c>
    </row>
    <row r="3" customFormat="false" ht="42.85" hidden="false" customHeight="false" outlineLevel="0" collapsed="false">
      <c r="A3" s="0" t="s">
        <v>223</v>
      </c>
      <c r="B3" s="0" t="s">
        <v>224</v>
      </c>
      <c r="C3" s="0" t="s">
        <v>18</v>
      </c>
      <c r="D3" s="0" t="n">
        <v>8082342344</v>
      </c>
      <c r="E3" s="3" t="s">
        <v>222</v>
      </c>
      <c r="F3" s="5"/>
      <c r="G3" s="4"/>
      <c r="H3" s="4" t="n">
        <v>0.5</v>
      </c>
      <c r="I3" s="8" t="s">
        <v>137</v>
      </c>
    </row>
  </sheetData>
  <dataValidations count="3"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G2:G3" type="decimal">
      <formula1>0</formula1>
      <formula2>0</formula2>
    </dataValidation>
    <dataValidation allowBlank="true" operator="between" showDropDown="false" showErrorMessage="true" showInputMessage="false" sqref="H2:H3" type="decimal">
      <formula1>0</formula1>
      <formula2>100</formula2>
    </dataValidation>
  </dataValidations>
  <hyperlinks>
    <hyperlink ref="E2" r:id="rId1" display="https://cancer.aetna.com"/>
    <hyperlink ref="E3" r:id="rId2" display="https://cancer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I3" activeCellId="1" sqref="J:L I3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19.36"/>
    <col collapsed="false" customWidth="true" hidden="false" outlineLevel="0" max="15" min="13" style="0" width="15.62"/>
    <col collapsed="false" customWidth="false" hidden="false" outlineLevel="0" max="1025" min="16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225</v>
      </c>
      <c r="K1" s="1" t="s">
        <v>226</v>
      </c>
      <c r="AMH1" s="0"/>
      <c r="AMI1" s="0"/>
      <c r="AMJ1" s="0"/>
    </row>
    <row r="2" customFormat="false" ht="42.85" hidden="false" customHeight="false" outlineLevel="0" collapsed="false">
      <c r="A2" s="0" t="s">
        <v>227</v>
      </c>
      <c r="B2" s="0" t="s">
        <v>228</v>
      </c>
      <c r="C2" s="0" t="s">
        <v>18</v>
      </c>
      <c r="D2" s="0" t="n">
        <v>8009889789</v>
      </c>
      <c r="E2" s="3" t="s">
        <v>229</v>
      </c>
      <c r="F2" s="5" t="s">
        <v>69</v>
      </c>
      <c r="G2" s="4"/>
      <c r="H2" s="4" t="n">
        <v>0.8</v>
      </c>
      <c r="I2" s="8" t="s">
        <v>137</v>
      </c>
      <c r="J2" s="0" t="n">
        <v>150000</v>
      </c>
      <c r="K2" s="0" t="n">
        <v>2000000</v>
      </c>
    </row>
  </sheetData>
  <dataValidations count="3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40" colorId="64" zoomScale="175" zoomScaleNormal="175" zoomScalePageLayoutView="100" workbookViewId="0">
      <selection pane="topLeft" activeCell="C3" activeCellId="1" sqref="J:L C3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3" min="12" style="0" width="37.06"/>
    <col collapsed="false" customWidth="true" hidden="false" outlineLevel="0" max="14" min="14" style="0" width="14.11"/>
    <col collapsed="false" customWidth="true" hidden="false" outlineLevel="0" max="15" min="15" style="0" width="20.56"/>
    <col collapsed="false" customWidth="true" hidden="false" outlineLevel="0" max="16" min="16" style="0" width="21.17"/>
    <col collapsed="false" customWidth="true" hidden="false" outlineLevel="0" max="17" min="17" style="0" width="19.36"/>
    <col collapsed="false" customWidth="true" hidden="false" outlineLevel="0" max="20" min="18" style="0" width="15.62"/>
    <col collapsed="false" customWidth="false" hidden="false" outlineLevel="0" max="1025" min="2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225</v>
      </c>
      <c r="K1" s="1" t="s">
        <v>226</v>
      </c>
      <c r="L1" s="0"/>
      <c r="M1" s="0"/>
      <c r="N1" s="0"/>
    </row>
    <row r="2" customFormat="false" ht="12.8" hidden="false" customHeight="false" outlineLevel="0" collapsed="false">
      <c r="A2" s="0" t="s">
        <v>227</v>
      </c>
      <c r="B2" s="0" t="s">
        <v>228</v>
      </c>
      <c r="C2" s="0" t="s">
        <v>18</v>
      </c>
      <c r="D2" s="0" t="n">
        <v>8009889789</v>
      </c>
      <c r="E2" s="3" t="s">
        <v>229</v>
      </c>
      <c r="F2" s="5" t="s">
        <v>69</v>
      </c>
      <c r="G2" s="4"/>
      <c r="H2" s="4" t="n">
        <v>0.8</v>
      </c>
      <c r="J2" s="0" t="n">
        <v>150000</v>
      </c>
      <c r="K2" s="0" t="n">
        <v>2000000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3" activeCellId="1" sqref="J:L C3"/>
    </sheetView>
  </sheetViews>
  <sheetFormatPr defaultRowHeight="12.8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7.37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230</v>
      </c>
      <c r="H1" s="1" t="s">
        <v>231</v>
      </c>
      <c r="I1" s="1" t="s">
        <v>125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232</v>
      </c>
      <c r="B2" s="0" t="s">
        <v>233</v>
      </c>
      <c r="C2" s="0" t="s">
        <v>18</v>
      </c>
      <c r="D2" s="0" t="n">
        <v>8009889789</v>
      </c>
      <c r="E2" s="3" t="s">
        <v>200</v>
      </c>
      <c r="F2" s="5" t="s">
        <v>69</v>
      </c>
      <c r="G2" s="0" t="n">
        <v>200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3" activeCellId="1" sqref="J:L C3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37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false" hidden="false" outlineLevel="0" max="6" min="6" style="0" width="11.52"/>
    <col collapsed="false" customWidth="true" hidden="false" outlineLevel="0" max="8" min="7" style="0" width="33.24"/>
    <col collapsed="false" customWidth="true" hidden="false" outlineLevel="0" max="9" min="9" style="0" width="15.08"/>
    <col collapsed="false" customWidth="true" hidden="false" outlineLevel="0" max="10" min="10" style="0" width="16.41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230</v>
      </c>
      <c r="H1" s="1" t="s">
        <v>231</v>
      </c>
      <c r="I1" s="1" t="s">
        <v>125</v>
      </c>
      <c r="J1" s="1" t="s">
        <v>152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234</v>
      </c>
      <c r="B2" s="0" t="s">
        <v>235</v>
      </c>
      <c r="C2" s="0" t="s">
        <v>18</v>
      </c>
      <c r="D2" s="0" t="n">
        <v>8009889789</v>
      </c>
      <c r="E2" s="3" t="s">
        <v>200</v>
      </c>
      <c r="F2" s="5" t="s">
        <v>69</v>
      </c>
      <c r="G2" s="0" t="n">
        <v>200</v>
      </c>
      <c r="J2" s="0" t="n">
        <v>2000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1" sqref="J:L A1"/>
    </sheetView>
  </sheetViews>
  <sheetFormatPr defaultRowHeight="12.8" zeroHeight="false" outlineLevelRow="0" outlineLevelCol="0"/>
  <cols>
    <col collapsed="false" customWidth="true" hidden="false" outlineLevel="0" max="2" min="1" style="0" width="16.26"/>
    <col collapsed="false" customWidth="true" hidden="false" outlineLevel="0" max="3" min="3" style="0" width="10.85"/>
    <col collapsed="false" customWidth="true" hidden="false" outlineLevel="0" max="4" min="4" style="0" width="13.96"/>
    <col collapsed="false" customWidth="true" hidden="false" outlineLevel="0" max="5" min="5" style="0" width="16.41"/>
    <col collapsed="false" customWidth="true" hidden="false" outlineLevel="0" max="6" min="6" style="0" width="17.06"/>
    <col collapsed="false" customWidth="true" hidden="false" outlineLevel="0" max="7" min="7" style="0" width="15.54"/>
    <col collapsed="false" customWidth="true" hidden="false" outlineLevel="0" max="10" min="8" style="0" width="15.23"/>
    <col collapsed="false" customWidth="true" hidden="false" outlineLevel="0" max="11" min="11" style="0" width="13.7"/>
    <col collapsed="false" customWidth="true" hidden="false" outlineLevel="0" max="12" min="12" style="0" width="14.83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236</v>
      </c>
      <c r="B1" s="0" t="s">
        <v>25</v>
      </c>
      <c r="C1" s="0" t="s">
        <v>237</v>
      </c>
      <c r="D1" s="0" t="s">
        <v>238</v>
      </c>
      <c r="E1" s="0" t="s">
        <v>239</v>
      </c>
      <c r="F1" s="0" t="s">
        <v>240</v>
      </c>
      <c r="G1" s="0" t="s">
        <v>241</v>
      </c>
      <c r="H1" s="0" t="s">
        <v>242</v>
      </c>
      <c r="I1" s="0" t="s">
        <v>243</v>
      </c>
      <c r="J1" s="0" t="s">
        <v>244</v>
      </c>
      <c r="K1" s="0" t="s">
        <v>245</v>
      </c>
      <c r="L1" s="0" t="s">
        <v>246</v>
      </c>
    </row>
    <row r="2" customFormat="false" ht="12.8" hidden="false" customHeight="false" outlineLevel="0" collapsed="false">
      <c r="A2" s="0" t="n">
        <v>2016</v>
      </c>
      <c r="B2" s="0" t="n">
        <v>2903</v>
      </c>
      <c r="C2" s="0" t="s">
        <v>141</v>
      </c>
      <c r="G2" s="5" t="n">
        <f aca="false">TRUE()</f>
        <v>1</v>
      </c>
    </row>
    <row r="3" customFormat="false" ht="12.8" hidden="false" customHeight="false" outlineLevel="0" collapsed="false">
      <c r="A3" s="0" t="n">
        <v>2016</v>
      </c>
      <c r="B3" s="0" t="n">
        <v>2903</v>
      </c>
      <c r="C3" s="0" t="s">
        <v>146</v>
      </c>
      <c r="G3" s="5"/>
      <c r="J3" s="5" t="n">
        <f aca="false">TRUE()</f>
        <v>1</v>
      </c>
    </row>
    <row r="4" customFormat="false" ht="12.8" hidden="false" customHeight="false" outlineLevel="0" collapsed="false">
      <c r="A4" s="0" t="n">
        <v>2016</v>
      </c>
      <c r="B4" s="0" t="n">
        <v>2903</v>
      </c>
      <c r="C4" s="0" t="s">
        <v>149</v>
      </c>
      <c r="J4" s="5" t="n">
        <f aca="false">TRUE()</f>
        <v>1</v>
      </c>
    </row>
    <row r="5" customFormat="false" ht="12.8" hidden="false" customHeight="false" outlineLevel="0" collapsed="false">
      <c r="A5" s="0" t="n">
        <v>2016</v>
      </c>
      <c r="B5" s="0" t="n">
        <v>2903</v>
      </c>
      <c r="C5" s="0" t="s">
        <v>209</v>
      </c>
      <c r="K5" s="0" t="n">
        <v>10000</v>
      </c>
    </row>
    <row r="6" customFormat="false" ht="12.8" hidden="false" customHeight="false" outlineLevel="0" collapsed="false">
      <c r="A6" s="0" t="n">
        <v>2016</v>
      </c>
      <c r="B6" s="0" t="n">
        <v>2903</v>
      </c>
      <c r="C6" s="0" t="s">
        <v>178</v>
      </c>
      <c r="K6" s="0" t="n">
        <v>20000</v>
      </c>
    </row>
    <row r="7" customFormat="false" ht="12.8" hidden="false" customHeight="false" outlineLevel="0" collapsed="false">
      <c r="A7" s="0" t="n">
        <v>2016</v>
      </c>
      <c r="B7" s="0" t="n">
        <v>2903</v>
      </c>
      <c r="C7" s="0" t="s">
        <v>160</v>
      </c>
      <c r="K7" s="0" t="n">
        <v>150000</v>
      </c>
    </row>
    <row r="8" customFormat="false" ht="12.8" hidden="false" customHeight="false" outlineLevel="0" collapsed="false">
      <c r="A8" s="0" t="n">
        <v>2016</v>
      </c>
      <c r="B8" s="0" t="n">
        <v>2903</v>
      </c>
      <c r="C8" s="0" t="s">
        <v>247</v>
      </c>
      <c r="K8" s="0" t="n">
        <v>100000</v>
      </c>
      <c r="L8" s="0" t="n">
        <v>2238972347</v>
      </c>
    </row>
    <row r="9" customFormat="false" ht="12.8" hidden="false" customHeight="false" outlineLevel="0" collapsed="false">
      <c r="A9" s="0" t="n">
        <v>2016</v>
      </c>
      <c r="B9" s="0" t="n">
        <v>2903</v>
      </c>
      <c r="C9" s="0" t="s">
        <v>194</v>
      </c>
      <c r="K9" s="0" t="n">
        <v>1500</v>
      </c>
    </row>
    <row r="10" customFormat="false" ht="12.8" hidden="false" customHeight="false" outlineLevel="0" collapsed="false">
      <c r="A10" s="0" t="n">
        <v>2016</v>
      </c>
      <c r="B10" s="0" t="n">
        <v>2903</v>
      </c>
      <c r="C10" s="0" t="s">
        <v>206</v>
      </c>
      <c r="K10" s="0" t="n">
        <v>10000</v>
      </c>
    </row>
    <row r="11" customFormat="false" ht="12.8" hidden="false" customHeight="false" outlineLevel="0" collapsed="false">
      <c r="A11" s="0" t="n">
        <v>2016</v>
      </c>
      <c r="B11" s="0" t="n">
        <v>2903</v>
      </c>
      <c r="C11" s="0" t="s">
        <v>248</v>
      </c>
      <c r="G11" s="5" t="n">
        <f aca="false">TRUE()</f>
        <v>1</v>
      </c>
      <c r="K11" s="0" t="n">
        <v>25000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J4" activeCellId="0" sqref="J:L"/>
    </sheetView>
  </sheetViews>
  <sheetFormatPr defaultRowHeight="12.8" zeroHeight="false" outlineLevelRow="0" outlineLevelCol="0"/>
  <cols>
    <col collapsed="false" customWidth="true" hidden="false" outlineLevel="0" max="1" min="1" style="0" width="9.05"/>
    <col collapsed="false" customWidth="true" hidden="false" outlineLevel="0" max="2" min="2" style="0" width="6.41"/>
    <col collapsed="false" customWidth="true" hidden="false" outlineLevel="0" max="3" min="3" style="0" width="8.21"/>
    <col collapsed="false" customWidth="true" hidden="false" outlineLevel="0" max="4" min="4" style="0" width="14.19"/>
    <col collapsed="false" customWidth="true" hidden="false" outlineLevel="0" max="5" min="5" style="0" width="13.02"/>
    <col collapsed="false" customWidth="true" hidden="false" outlineLevel="0" max="6" min="6" style="0" width="14.43"/>
    <col collapsed="false" customWidth="true" hidden="false" outlineLevel="0" max="7" min="7" style="0" width="14.19"/>
    <col collapsed="false" customWidth="true" hidden="false" outlineLevel="0" max="8" min="8" style="0" width="12.53"/>
    <col collapsed="false" customWidth="true" hidden="false" outlineLevel="0" max="9" min="9" style="0" width="19.43"/>
    <col collapsed="false" customWidth="true" hidden="false" outlineLevel="0" max="10" min="10" style="0" width="10.12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0" t="s">
        <v>249</v>
      </c>
      <c r="B1" s="0" t="s">
        <v>250</v>
      </c>
      <c r="C1" s="0" t="s">
        <v>251</v>
      </c>
      <c r="D1" s="0" t="s">
        <v>252</v>
      </c>
      <c r="E1" s="0" t="s">
        <v>253</v>
      </c>
      <c r="F1" s="0" t="s">
        <v>254</v>
      </c>
      <c r="G1" s="0" t="s">
        <v>95</v>
      </c>
      <c r="H1" s="0" t="s">
        <v>255</v>
      </c>
      <c r="I1" s="0" t="s">
        <v>256</v>
      </c>
      <c r="J1" s="0" t="s">
        <v>257</v>
      </c>
    </row>
    <row r="2" customFormat="false" ht="12.8" hidden="false" customHeight="false" outlineLevel="0" collapsed="false">
      <c r="A2" s="0" t="s">
        <v>69</v>
      </c>
      <c r="B2" s="0" t="s">
        <v>258</v>
      </c>
      <c r="C2" s="0" t="s">
        <v>61</v>
      </c>
      <c r="D2" s="0" t="s">
        <v>105</v>
      </c>
      <c r="E2" s="0" t="s">
        <v>86</v>
      </c>
      <c r="F2" s="0" t="s">
        <v>117</v>
      </c>
      <c r="G2" s="0" t="s">
        <v>259</v>
      </c>
      <c r="H2" s="0" t="s">
        <v>260</v>
      </c>
      <c r="I2" s="0" t="s">
        <v>261</v>
      </c>
      <c r="J2" s="0" t="s">
        <v>144</v>
      </c>
    </row>
    <row r="3" customFormat="false" ht="12.8" hidden="false" customHeight="false" outlineLevel="0" collapsed="false">
      <c r="A3" s="0" t="s">
        <v>106</v>
      </c>
      <c r="B3" s="0" t="s">
        <v>262</v>
      </c>
      <c r="C3" s="0" t="s">
        <v>78</v>
      </c>
      <c r="D3" s="0" t="s">
        <v>62</v>
      </c>
      <c r="E3" s="0" t="s">
        <v>63</v>
      </c>
      <c r="F3" s="0" t="s">
        <v>263</v>
      </c>
      <c r="G3" s="0" t="s">
        <v>264</v>
      </c>
      <c r="H3" s="0" t="s">
        <v>265</v>
      </c>
      <c r="I3" s="0" t="s">
        <v>266</v>
      </c>
      <c r="J3" s="0" t="s">
        <v>139</v>
      </c>
    </row>
    <row r="4" customFormat="false" ht="12.8" hidden="false" customHeight="false" outlineLevel="0" collapsed="false">
      <c r="B4" s="0" t="s">
        <v>267</v>
      </c>
      <c r="D4" s="0" t="s">
        <v>268</v>
      </c>
      <c r="G4" s="0" t="s">
        <v>109</v>
      </c>
      <c r="H4" s="0" t="s">
        <v>269</v>
      </c>
      <c r="I4" s="0" t="s">
        <v>270</v>
      </c>
    </row>
    <row r="5" customFormat="false" ht="12.8" hidden="false" customHeight="false" outlineLevel="0" collapsed="false">
      <c r="B5" s="0" t="s">
        <v>271</v>
      </c>
      <c r="D5" s="0" t="s">
        <v>272</v>
      </c>
      <c r="G5" s="0" t="s">
        <v>102</v>
      </c>
      <c r="H5" s="0" t="s">
        <v>273</v>
      </c>
    </row>
    <row r="6" customFormat="false" ht="12.8" hidden="false" customHeight="false" outlineLevel="0" collapsed="false">
      <c r="B6" s="0" t="s">
        <v>274</v>
      </c>
      <c r="G6" s="0" t="s">
        <v>275</v>
      </c>
      <c r="H6" s="0" t="s">
        <v>276</v>
      </c>
    </row>
    <row r="7" customFormat="false" ht="12.8" hidden="false" customHeight="false" outlineLevel="0" collapsed="false">
      <c r="B7" s="0" t="s">
        <v>277</v>
      </c>
      <c r="H7" s="0" t="s">
        <v>72</v>
      </c>
    </row>
    <row r="8" customFormat="false" ht="12.8" hidden="false" customHeight="false" outlineLevel="0" collapsed="false">
      <c r="B8" s="0" t="s">
        <v>278</v>
      </c>
    </row>
    <row r="9" customFormat="false" ht="12.8" hidden="false" customHeight="false" outlineLevel="0" collapsed="false">
      <c r="B9" s="0" t="s">
        <v>279</v>
      </c>
    </row>
    <row r="10" customFormat="false" ht="12.8" hidden="false" customHeight="false" outlineLevel="0" collapsed="false">
      <c r="B10" s="0" t="s">
        <v>280</v>
      </c>
    </row>
    <row r="11" customFormat="false" ht="12.8" hidden="false" customHeight="false" outlineLevel="0" collapsed="false">
      <c r="B11" s="0" t="s">
        <v>281</v>
      </c>
    </row>
    <row r="12" customFormat="false" ht="12.8" hidden="false" customHeight="false" outlineLevel="0" collapsed="false">
      <c r="B12" s="0" t="s">
        <v>282</v>
      </c>
    </row>
    <row r="13" customFormat="false" ht="12.8" hidden="false" customHeight="false" outlineLevel="0" collapsed="false">
      <c r="B13" s="0" t="s">
        <v>283</v>
      </c>
    </row>
    <row r="14" customFormat="false" ht="12.8" hidden="false" customHeight="false" outlineLevel="0" collapsed="false">
      <c r="B14" s="0" t="s">
        <v>284</v>
      </c>
    </row>
    <row r="15" customFormat="false" ht="12.8" hidden="false" customHeight="false" outlineLevel="0" collapsed="false">
      <c r="B15" s="0" t="s">
        <v>285</v>
      </c>
    </row>
    <row r="16" customFormat="false" ht="12.8" hidden="false" customHeight="false" outlineLevel="0" collapsed="false">
      <c r="B16" s="0" t="s">
        <v>286</v>
      </c>
    </row>
    <row r="17" customFormat="false" ht="12.8" hidden="false" customHeight="false" outlineLevel="0" collapsed="false">
      <c r="B17" s="0" t="s">
        <v>287</v>
      </c>
    </row>
    <row r="18" customFormat="false" ht="12.8" hidden="false" customHeight="false" outlineLevel="0" collapsed="false">
      <c r="B18" s="0" t="s">
        <v>288</v>
      </c>
    </row>
    <row r="19" customFormat="false" ht="12.8" hidden="false" customHeight="false" outlineLevel="0" collapsed="false">
      <c r="B19" s="0" t="s">
        <v>289</v>
      </c>
    </row>
    <row r="20" customFormat="false" ht="12.8" hidden="false" customHeight="false" outlineLevel="0" collapsed="false">
      <c r="B20" s="0" t="s">
        <v>290</v>
      </c>
    </row>
    <row r="21" customFormat="false" ht="12.8" hidden="false" customHeight="false" outlineLevel="0" collapsed="false">
      <c r="B21" s="0" t="s">
        <v>291</v>
      </c>
    </row>
    <row r="22" customFormat="false" ht="12.8" hidden="false" customHeight="false" outlineLevel="0" collapsed="false">
      <c r="B22" s="0" t="s">
        <v>292</v>
      </c>
    </row>
    <row r="23" customFormat="false" ht="12.8" hidden="false" customHeight="false" outlineLevel="0" collapsed="false">
      <c r="B23" s="0" t="s">
        <v>293</v>
      </c>
    </row>
    <row r="24" customFormat="false" ht="12.8" hidden="false" customHeight="false" outlineLevel="0" collapsed="false">
      <c r="B24" s="0" t="s">
        <v>294</v>
      </c>
    </row>
    <row r="25" customFormat="false" ht="12.8" hidden="false" customHeight="false" outlineLevel="0" collapsed="false">
      <c r="B25" s="0" t="s">
        <v>295</v>
      </c>
    </row>
    <row r="26" customFormat="false" ht="12.8" hidden="false" customHeight="false" outlineLevel="0" collapsed="false">
      <c r="B26" s="0" t="s">
        <v>296</v>
      </c>
    </row>
    <row r="27" customFormat="false" ht="12.8" hidden="false" customHeight="false" outlineLevel="0" collapsed="false">
      <c r="B27" s="0" t="s">
        <v>297</v>
      </c>
    </row>
    <row r="28" customFormat="false" ht="12.8" hidden="false" customHeight="false" outlineLevel="0" collapsed="false">
      <c r="B28" s="0" t="s">
        <v>298</v>
      </c>
    </row>
    <row r="29" customFormat="false" ht="12.8" hidden="false" customHeight="false" outlineLevel="0" collapsed="false">
      <c r="B29" s="0" t="s">
        <v>299</v>
      </c>
    </row>
    <row r="30" customFormat="false" ht="12.8" hidden="false" customHeight="false" outlineLevel="0" collapsed="false">
      <c r="B30" s="0" t="s">
        <v>300</v>
      </c>
    </row>
    <row r="31" customFormat="false" ht="12.8" hidden="false" customHeight="false" outlineLevel="0" collapsed="false">
      <c r="B31" s="0" t="s">
        <v>301</v>
      </c>
    </row>
    <row r="32" customFormat="false" ht="12.8" hidden="false" customHeight="false" outlineLevel="0" collapsed="false">
      <c r="B32" s="0" t="s">
        <v>302</v>
      </c>
    </row>
    <row r="33" customFormat="false" ht="12.8" hidden="false" customHeight="false" outlineLevel="0" collapsed="false">
      <c r="B33" s="0" t="s">
        <v>303</v>
      </c>
    </row>
    <row r="34" customFormat="false" ht="12.8" hidden="false" customHeight="false" outlineLevel="0" collapsed="false">
      <c r="B34" s="0" t="s">
        <v>304</v>
      </c>
    </row>
    <row r="35" customFormat="false" ht="12.8" hidden="false" customHeight="false" outlineLevel="0" collapsed="false">
      <c r="B35" s="0" t="s">
        <v>305</v>
      </c>
    </row>
    <row r="36" customFormat="false" ht="12.8" hidden="false" customHeight="false" outlineLevel="0" collapsed="false">
      <c r="B36" s="0" t="s">
        <v>306</v>
      </c>
    </row>
    <row r="37" customFormat="false" ht="12.8" hidden="false" customHeight="false" outlineLevel="0" collapsed="false">
      <c r="B37" s="0" t="s">
        <v>307</v>
      </c>
    </row>
    <row r="38" customFormat="false" ht="12.8" hidden="false" customHeight="false" outlineLevel="0" collapsed="false">
      <c r="B38" s="0" t="s">
        <v>308</v>
      </c>
    </row>
    <row r="39" customFormat="false" ht="12.8" hidden="false" customHeight="false" outlineLevel="0" collapsed="false">
      <c r="B39" s="0" t="s">
        <v>309</v>
      </c>
    </row>
    <row r="40" customFormat="false" ht="12.8" hidden="false" customHeight="false" outlineLevel="0" collapsed="false">
      <c r="B40" s="0" t="s">
        <v>310</v>
      </c>
    </row>
    <row r="41" customFormat="false" ht="12.8" hidden="false" customHeight="false" outlineLevel="0" collapsed="false">
      <c r="B41" s="0" t="s">
        <v>311</v>
      </c>
    </row>
    <row r="42" customFormat="false" ht="12.8" hidden="false" customHeight="false" outlineLevel="0" collapsed="false">
      <c r="B42" s="0" t="s">
        <v>312</v>
      </c>
    </row>
    <row r="43" customFormat="false" ht="12.8" hidden="false" customHeight="false" outlineLevel="0" collapsed="false">
      <c r="B43" s="0" t="s">
        <v>313</v>
      </c>
    </row>
    <row r="44" customFormat="false" ht="12.8" hidden="false" customHeight="false" outlineLevel="0" collapsed="false">
      <c r="B44" s="0" t="s">
        <v>66</v>
      </c>
    </row>
    <row r="45" customFormat="false" ht="12.8" hidden="false" customHeight="false" outlineLevel="0" collapsed="false">
      <c r="B45" s="0" t="s">
        <v>314</v>
      </c>
    </row>
    <row r="46" customFormat="false" ht="12.8" hidden="false" customHeight="false" outlineLevel="0" collapsed="false">
      <c r="B46" s="0" t="s">
        <v>315</v>
      </c>
    </row>
    <row r="47" customFormat="false" ht="12.8" hidden="false" customHeight="false" outlineLevel="0" collapsed="false">
      <c r="B47" s="0" t="s">
        <v>316</v>
      </c>
    </row>
    <row r="48" customFormat="false" ht="12.8" hidden="false" customHeight="false" outlineLevel="0" collapsed="false">
      <c r="B48" s="0" t="s">
        <v>317</v>
      </c>
    </row>
    <row r="49" customFormat="false" ht="12.8" hidden="false" customHeight="false" outlineLevel="0" collapsed="false">
      <c r="B49" s="0" t="s">
        <v>318</v>
      </c>
    </row>
    <row r="50" customFormat="false" ht="12.8" hidden="false" customHeight="false" outlineLevel="0" collapsed="false">
      <c r="B50" s="0" t="s">
        <v>319</v>
      </c>
    </row>
    <row r="51" customFormat="false" ht="12.8" hidden="false" customHeight="false" outlineLevel="0" collapsed="false">
      <c r="B51" s="0" t="s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22374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2017-01-23T19:46:20Z</dcterms:created>
  <dc:creator/>
  <dc:description/>
  <dc:language>en-US</dc:language>
  <cp:lastModifiedBy/>
  <dcterms:modified xsi:type="dcterms:W3CDTF">2017-09-08T20:43:29Z</dcterms:modified>
  <cp:revision>166</cp:revision>
  <dc:subject/>
  <dc:title/>
</cp:coreProperties>
</file>