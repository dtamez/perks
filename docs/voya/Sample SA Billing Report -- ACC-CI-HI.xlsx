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<sst xmlns="http://schemas.openxmlformats.org/spreadsheetml/2006/main" count="100" uniqueCount="36">
  <si>
    <t xml:space="preserve">Voya Self-billing Report (Sample)</t>
  </si>
  <si>
    <t xml:space="preserve">Plan</t>
  </si>
  <si>
    <t xml:space="preserve">Age Band</t>
  </si>
  <si>
    <t xml:space="preserve">Rate</t>
  </si>
  <si>
    <t xml:space="preserve">Lives</t>
  </si>
  <si>
    <t xml:space="preserve">Volume</t>
  </si>
  <si>
    <t xml:space="preserve">Monthly</t>
  </si>
  <si>
    <t xml:space="preserve">Compass Accident, Employee Only</t>
  </si>
  <si>
    <t xml:space="preserve">All</t>
  </si>
  <si>
    <t xml:space="preserve">Compass Accident, Employee + Spouse</t>
  </si>
  <si>
    <t xml:space="preserve">Compass Accident, Employee + Children</t>
  </si>
  <si>
    <t xml:space="preserve">Compass Accident, Employee + Family</t>
  </si>
  <si>
    <t xml:space="preserve">Total</t>
  </si>
  <si>
    <t xml:space="preserve">Compass Critical Illness, Employee, Non-tobacco </t>
  </si>
  <si>
    <t xml:space="preserve">0 - 29</t>
  </si>
  <si>
    <t xml:space="preserve">30 - 39</t>
  </si>
  <si>
    <t xml:space="preserve">40 - 49</t>
  </si>
  <si>
    <t xml:space="preserve">50 - 59</t>
  </si>
  <si>
    <t xml:space="preserve">60 - 64</t>
  </si>
  <si>
    <t xml:space="preserve">65 - 69</t>
  </si>
  <si>
    <t xml:space="preserve">70 +</t>
  </si>
  <si>
    <t xml:space="preserve">Compass Critical Illness, Employee, Tobacco</t>
  </si>
  <si>
    <t xml:space="preserve">Compass Critical Illness, Spouse, Non-tobacco</t>
  </si>
  <si>
    <t xml:space="preserve">Compass Critical Illness, Spouse, Tobacco</t>
  </si>
  <si>
    <t xml:space="preserve">Compass Critical Illness, Child $1,000</t>
  </si>
  <si>
    <t xml:space="preserve">0-26</t>
  </si>
  <si>
    <t xml:space="preserve">Compass Critical Illness, Child $2,500</t>
  </si>
  <si>
    <t xml:space="preserve">Compass Critical Illness, Child $5,000</t>
  </si>
  <si>
    <t xml:space="preserve">Compass Critical Illness, Child $10,000</t>
  </si>
  <si>
    <t xml:space="preserve">Compass Critical Illness, Wellness Beneft, Employee</t>
  </si>
  <si>
    <t xml:space="preserve">Compass Critical Illness, Wellness Benefit, Spouse</t>
  </si>
  <si>
    <t xml:space="preserve">Compass Hospital Indemnity, Employee Only</t>
  </si>
  <si>
    <t xml:space="preserve">Compass Hospital Indemnity,  Employee + Spouse</t>
  </si>
  <si>
    <t xml:space="preserve">Compass Hospital Indemnity, Employee + Children</t>
  </si>
  <si>
    <t xml:space="preserve">Compass Hospital Indemnity, Employee + Family</t>
  </si>
  <si>
    <t xml:space="preserve">Overall Total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</si>
</sst>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_);[RED]\(#,##0\)"/>
    <numFmt numFmtId="166" formatCode="_(* #,##0.00_);_(* \(#,##0.00\);_(* \-??_);_(@_)"/>
    <numFmt numFmtId="167" formatCode="#,##0"/>
    <numFmt numFmtId="168" formatCode="\$#,##0_);[RED]&quot;($&quot;#,##0\)"/>
    <numFmt numFmtId="169" formatCode="_(\$* #,##0.00_);_(\$* \(#,##0.00\);_(\$* \-??_);_(@_)"/>
    <numFmt numFmtId="170" formatCode="\$#,##0_);&quot;($&quot;#,##0\)"/>
    <numFmt numFmtId="171" formatCode="MMMM\ D&quot;, &quot;YYYY"/>
    <numFmt numFmtId="172" formatCode="0.00"/>
    <numFmt numFmtId="173" formatCode="0.0"/>
    <numFmt numFmtId="174" formatCode="\$* #,##0;&quot;($&quot;* #,##0\)"/>
    <numFmt numFmtId="175" formatCode="0%"/>
    <numFmt numFmtId="176" formatCode="\$#,##0.00"/>
    <numFmt numFmtId="177" formatCode="\$#,##0.00_);[RED]&quot;($&quot;#,##0.00\)"/>
  </numFmts>
  <fonts count="3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333333"/>
      <name val="Calibri"/>
      <family val="2"/>
      <charset val="1"/>
    </font>
    <font>
      <i val="true"/>
      <sz val="10"/>
      <color rgb="FF808080"/>
      <name val="Calibri"/>
      <family val="2"/>
      <charset val="1"/>
    </font>
    <font>
      <sz val="10"/>
      <color rgb="FF006600"/>
      <name val="Calibri"/>
      <family val="2"/>
      <charset val="1"/>
    </font>
    <font>
      <sz val="10"/>
      <color rgb="FF996600"/>
      <name val="Calibri"/>
      <family val="2"/>
      <charset val="1"/>
    </font>
    <font>
      <sz val="10"/>
      <color rgb="FFCC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FFFFFF"/>
      <name val="Calibri"/>
      <family val="2"/>
      <charset val="1"/>
    </font>
    <font>
      <sz val="10"/>
      <name val="SWISS"/>
      <family val="0"/>
      <charset val="1"/>
    </font>
    <font>
      <sz val="10"/>
      <name val="Arial"/>
      <family val="2"/>
      <charset val="1"/>
    </font>
    <font>
      <sz val="9"/>
      <color rgb="FF0000FF"/>
      <name val="Arial"/>
      <family val="2"/>
      <charset val="1"/>
    </font>
    <font>
      <u val="single"/>
      <sz val="6.5"/>
      <color rgb="FF0000FF"/>
      <name val="Arial"/>
      <family val="2"/>
      <charset val="1"/>
    </font>
    <font>
      <sz val="10"/>
      <color rgb="FF808080"/>
      <name val="Arial"/>
      <family val="2"/>
      <charset val="1"/>
    </font>
    <font>
      <sz val="12"/>
      <name val="Times New Roman"/>
      <family val="1"/>
      <charset val="1"/>
    </font>
    <font>
      <sz val="12"/>
      <name val="Arial"/>
      <family val="2"/>
      <charset val="1"/>
    </font>
    <font>
      <sz val="10"/>
      <name val="MS Sans Serif"/>
      <family val="2"/>
      <charset val="1"/>
    </font>
    <font>
      <sz val="11"/>
      <name val="Garamond"/>
      <family val="1"/>
      <charset val="1"/>
    </font>
    <font>
      <sz val="12"/>
      <name val="Arial"/>
      <family val="0"/>
      <charset val="1"/>
    </font>
    <font>
      <b val="true"/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i val="true"/>
      <sz val="14"/>
      <name val="Times New Roman"/>
      <family val="1"/>
      <charset val="1"/>
    </font>
    <font>
      <sz val="10"/>
      <color rgb="FF000000"/>
      <name val="Arial"/>
      <family val="2"/>
      <charset val="1"/>
    </font>
    <font>
      <b val="true"/>
      <sz val="24"/>
      <name val="Times New Roman"/>
      <family val="1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sz val="12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FFCCCC"/>
      </patternFill>
    </fill>
    <fill>
      <patternFill patternType="solid">
        <fgColor rgb="FFFFFFFF"/>
        <bgColor rgb="FFFFFFCC"/>
      </patternFill>
    </fill>
    <fill>
      <patternFill patternType="solid">
        <fgColor rgb="FFB8B8B8"/>
        <bgColor rgb="FFB2B2B2"/>
      </patternFill>
    </fill>
    <fill>
      <patternFill patternType="solid">
        <fgColor rgb="FFBFBFBF"/>
        <bgColor rgb="FFB8B8B8"/>
      </patternFill>
    </fill>
    <fill>
      <patternFill patternType="solid">
        <fgColor rgb="FFA6A6A6"/>
        <bgColor rgb="FFB2B2B2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7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10" fillId="2" borderId="0" applyFont="true" applyBorder="false" applyAlignment="true" applyProtection="false">
      <alignment horizontal="general" vertical="bottom" textRotation="0" wrapText="false" indent="0" shrinkToFit="false"/>
    </xf>
    <xf numFmtId="164" fontId="11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5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6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16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16" fillId="0" borderId="0" applyFont="true" applyBorder="false" applyAlignment="true" applyProtection="false">
      <alignment horizontal="general" vertical="bottom" textRotation="0" wrapText="false" indent="0" shrinkToFit="false"/>
    </xf>
    <xf numFmtId="172" fontId="16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10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applyFont="true" applyBorder="tru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right" vertical="bottom" textRotation="0" wrapText="false" indent="0" shrinkToFit="false"/>
    </xf>
    <xf numFmtId="164" fontId="26" fillId="0" borderId="0" applyFont="true" applyBorder="false" applyAlignment="true" applyProtection="false">
      <alignment horizontal="righ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7" fillId="0" borderId="0" applyFont="true" applyBorder="false" applyAlignment="true" applyProtection="false">
      <alignment horizontal="general" vertical="bottom" textRotation="0" wrapText="false" indent="0" shrinkToFit="false"/>
    </xf>
    <xf numFmtId="164" fontId="28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1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2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2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32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1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1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2" fillId="11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32" fillId="11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3" fillId="0" borderId="5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32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2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1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1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0" fillId="1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2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  <cellStyle name="2" xfId="36" builtinId="53" customBuiltin="true"/>
    <cellStyle name="2_B" xfId="37" builtinId="53" customBuiltin="true"/>
    <cellStyle name="2_C" xfId="38" builtinId="53" customBuiltin="true"/>
    <cellStyle name="2_D" xfId="39" builtinId="53" customBuiltin="true"/>
    <cellStyle name="2_E" xfId="40" builtinId="53" customBuiltin="true"/>
    <cellStyle name="2_F" xfId="41" builtinId="53" customBuiltin="true"/>
    <cellStyle name="2_G" xfId="42" builtinId="53" customBuiltin="true"/>
    <cellStyle name="2_H" xfId="43" builtinId="53" customBuiltin="true"/>
    <cellStyle name="2_I" xfId="44" builtinId="53" customBuiltin="true"/>
    <cellStyle name="2_J" xfId="45" builtinId="53" customBuiltin="true"/>
    <cellStyle name="2_K" xfId="46" builtinId="53" customBuiltin="true"/>
    <cellStyle name="2_L" xfId="47" builtinId="53" customBuiltin="true"/>
    <cellStyle name="2_M" xfId="48" builtinId="53" customBuiltin="true"/>
    <cellStyle name="Body" xfId="49" builtinId="53" customBuiltin="true"/>
    <cellStyle name="Bullets" xfId="50" builtinId="53" customBuiltin="true"/>
    <cellStyle name="Comma 0" xfId="51" builtinId="53" customBuiltin="true"/>
    <cellStyle name="Comma 2" xfId="52" builtinId="53" customBuiltin="true"/>
    <cellStyle name="Comma 2 2" xfId="53" builtinId="53" customBuiltin="true"/>
    <cellStyle name="Comma 2 3" xfId="54" builtinId="53" customBuiltin="true"/>
    <cellStyle name="Comma 2 4" xfId="55" builtinId="53" customBuiltin="true"/>
    <cellStyle name="Comma 2 5" xfId="56" builtinId="53" customBuiltin="true"/>
    <cellStyle name="Comma 3" xfId="57" builtinId="53" customBuiltin="true"/>
    <cellStyle name="Comma 3 2" xfId="58" builtinId="53" customBuiltin="true"/>
    <cellStyle name="Comma 4" xfId="59" builtinId="53" customBuiltin="true"/>
    <cellStyle name="Comma 4 10" xfId="60" builtinId="53" customBuiltin="true"/>
    <cellStyle name="Comma 4 2" xfId="61" builtinId="53" customBuiltin="true"/>
    <cellStyle name="Comma 4 2 2" xfId="62" builtinId="53" customBuiltin="true"/>
    <cellStyle name="Comma 4 2 2 2" xfId="63" builtinId="53" customBuiltin="true"/>
    <cellStyle name="Comma 4 2 2 2 2" xfId="64" builtinId="53" customBuiltin="true"/>
    <cellStyle name="Comma 4 2 2 2 3" xfId="65" builtinId="53" customBuiltin="true"/>
    <cellStyle name="Comma 4 2 2 2 4" xfId="66" builtinId="53" customBuiltin="true"/>
    <cellStyle name="Comma 4 2 2 3" xfId="67" builtinId="53" customBuiltin="true"/>
    <cellStyle name="Comma 4 2 2 4" xfId="68" builtinId="53" customBuiltin="true"/>
    <cellStyle name="Comma 4 2 2 5" xfId="69" builtinId="53" customBuiltin="true"/>
    <cellStyle name="Comma 4 2 2 6" xfId="70" builtinId="53" customBuiltin="true"/>
    <cellStyle name="Comma 4 2 2 7" xfId="71" builtinId="53" customBuiltin="true"/>
    <cellStyle name="Comma 4 2 3" xfId="72" builtinId="53" customBuiltin="true"/>
    <cellStyle name="Comma 4 2 3 2" xfId="73" builtinId="53" customBuiltin="true"/>
    <cellStyle name="Comma 4 2 3 3" xfId="74" builtinId="53" customBuiltin="true"/>
    <cellStyle name="Comma 4 2 3 4" xfId="75" builtinId="53" customBuiltin="true"/>
    <cellStyle name="Comma 4 2 4" xfId="76" builtinId="53" customBuiltin="true"/>
    <cellStyle name="Comma 4 2 5" xfId="77" builtinId="53" customBuiltin="true"/>
    <cellStyle name="Comma 4 2 6" xfId="78" builtinId="53" customBuiltin="true"/>
    <cellStyle name="Comma 4 2 7" xfId="79" builtinId="53" customBuiltin="true"/>
    <cellStyle name="Comma 4 2 8" xfId="80" builtinId="53" customBuiltin="true"/>
    <cellStyle name="Comma 4 3" xfId="81" builtinId="53" customBuiltin="true"/>
    <cellStyle name="Comma 4 3 2" xfId="82" builtinId="53" customBuiltin="true"/>
    <cellStyle name="Comma 4 3 2 2" xfId="83" builtinId="53" customBuiltin="true"/>
    <cellStyle name="Comma 4 3 2 2 2" xfId="84" builtinId="53" customBuiltin="true"/>
    <cellStyle name="Comma 4 3 2 2 3" xfId="85" builtinId="53" customBuiltin="true"/>
    <cellStyle name="Comma 4 3 2 2 4" xfId="86" builtinId="53" customBuiltin="true"/>
    <cellStyle name="Comma 4 3 2 3" xfId="87" builtinId="53" customBuiltin="true"/>
    <cellStyle name="Comma 4 3 2 4" xfId="88" builtinId="53" customBuiltin="true"/>
    <cellStyle name="Comma 4 3 2 5" xfId="89" builtinId="53" customBuiltin="true"/>
    <cellStyle name="Comma 4 3 2 6" xfId="90" builtinId="53" customBuiltin="true"/>
    <cellStyle name="Comma 4 3 3" xfId="91" builtinId="53" customBuiltin="true"/>
    <cellStyle name="Comma 4 3 3 2" xfId="92" builtinId="53" customBuiltin="true"/>
    <cellStyle name="Comma 4 3 3 3" xfId="93" builtinId="53" customBuiltin="true"/>
    <cellStyle name="Comma 4 3 3 4" xfId="94" builtinId="53" customBuiltin="true"/>
    <cellStyle name="Comma 4 3 4" xfId="95" builtinId="53" customBuiltin="true"/>
    <cellStyle name="Comma 4 3 5" xfId="96" builtinId="53" customBuiltin="true"/>
    <cellStyle name="Comma 4 3 6" xfId="97" builtinId="53" customBuiltin="true"/>
    <cellStyle name="Comma 4 3 7" xfId="98" builtinId="53" customBuiltin="true"/>
    <cellStyle name="Comma 4 3 8" xfId="99" builtinId="53" customBuiltin="true"/>
    <cellStyle name="Comma 4 4" xfId="100" builtinId="53" customBuiltin="true"/>
    <cellStyle name="Comma 4 4 2" xfId="101" builtinId="53" customBuiltin="true"/>
    <cellStyle name="Comma 4 4 2 2" xfId="102" builtinId="53" customBuiltin="true"/>
    <cellStyle name="Comma 4 4 2 3" xfId="103" builtinId="53" customBuiltin="true"/>
    <cellStyle name="Comma 4 4 2 4" xfId="104" builtinId="53" customBuiltin="true"/>
    <cellStyle name="Comma 4 4 3" xfId="105" builtinId="53" customBuiltin="true"/>
    <cellStyle name="Comma 4 4 4" xfId="106" builtinId="53" customBuiltin="true"/>
    <cellStyle name="Comma 4 4 5" xfId="107" builtinId="53" customBuiltin="true"/>
    <cellStyle name="Comma 4 4 6" xfId="108" builtinId="53" customBuiltin="true"/>
    <cellStyle name="Comma 4 5" xfId="109" builtinId="53" customBuiltin="true"/>
    <cellStyle name="Comma 4 5 2" xfId="110" builtinId="53" customBuiltin="true"/>
    <cellStyle name="Comma 4 5 3" xfId="111" builtinId="53" customBuiltin="true"/>
    <cellStyle name="Comma 4 5 4" xfId="112" builtinId="53" customBuiltin="true"/>
    <cellStyle name="Comma 4 6" xfId="113" builtinId="53" customBuiltin="true"/>
    <cellStyle name="Comma 4 7" xfId="114" builtinId="53" customBuiltin="true"/>
    <cellStyle name="Comma 4 8" xfId="115" builtinId="53" customBuiltin="true"/>
    <cellStyle name="Comma 4 9" xfId="116" builtinId="53" customBuiltin="true"/>
    <cellStyle name="Comma 5" xfId="117" builtinId="53" customBuiltin="true"/>
    <cellStyle name="Comma 5 10" xfId="118" builtinId="53" customBuiltin="true"/>
    <cellStyle name="Comma 5 2" xfId="119" builtinId="53" customBuiltin="true"/>
    <cellStyle name="Comma 5 2 2" xfId="120" builtinId="53" customBuiltin="true"/>
    <cellStyle name="Comma 5 2 2 2" xfId="121" builtinId="53" customBuiltin="true"/>
    <cellStyle name="Comma 5 2 2 2 2" xfId="122" builtinId="53" customBuiltin="true"/>
    <cellStyle name="Comma 5 2 2 2 3" xfId="123" builtinId="53" customBuiltin="true"/>
    <cellStyle name="Comma 5 2 2 2 4" xfId="124" builtinId="53" customBuiltin="true"/>
    <cellStyle name="Comma 5 2 2 3" xfId="125" builtinId="53" customBuiltin="true"/>
    <cellStyle name="Comma 5 2 2 4" xfId="126" builtinId="53" customBuiltin="true"/>
    <cellStyle name="Comma 5 2 2 5" xfId="127" builtinId="53" customBuiltin="true"/>
    <cellStyle name="Comma 5 2 2 6" xfId="128" builtinId="53" customBuiltin="true"/>
    <cellStyle name="Comma 5 2 3" xfId="129" builtinId="53" customBuiltin="true"/>
    <cellStyle name="Comma 5 2 3 2" xfId="130" builtinId="53" customBuiltin="true"/>
    <cellStyle name="Comma 5 2 3 3" xfId="131" builtinId="53" customBuiltin="true"/>
    <cellStyle name="Comma 5 2 3 4" xfId="132" builtinId="53" customBuiltin="true"/>
    <cellStyle name="Comma 5 2 4" xfId="133" builtinId="53" customBuiltin="true"/>
    <cellStyle name="Comma 5 2 5" xfId="134" builtinId="53" customBuiltin="true"/>
    <cellStyle name="Comma 5 2 6" xfId="135" builtinId="53" customBuiltin="true"/>
    <cellStyle name="Comma 5 2 7" xfId="136" builtinId="53" customBuiltin="true"/>
    <cellStyle name="Comma 5 2 8" xfId="137" builtinId="53" customBuiltin="true"/>
    <cellStyle name="Comma 5 3" xfId="138" builtinId="53" customBuiltin="true"/>
    <cellStyle name="Comma 5 3 2" xfId="139" builtinId="53" customBuiltin="true"/>
    <cellStyle name="Comma 5 3 2 2" xfId="140" builtinId="53" customBuiltin="true"/>
    <cellStyle name="Comma 5 3 2 3" xfId="141" builtinId="53" customBuiltin="true"/>
    <cellStyle name="Comma 5 3 2 4" xfId="142" builtinId="53" customBuiltin="true"/>
    <cellStyle name="Comma 5 3 3" xfId="143" builtinId="53" customBuiltin="true"/>
    <cellStyle name="Comma 5 3 4" xfId="144" builtinId="53" customBuiltin="true"/>
    <cellStyle name="Comma 5 3 5" xfId="145" builtinId="53" customBuiltin="true"/>
    <cellStyle name="Comma 5 3 6" xfId="146" builtinId="53" customBuiltin="true"/>
    <cellStyle name="Comma 5 4" xfId="147" builtinId="53" customBuiltin="true"/>
    <cellStyle name="Comma 5 4 2" xfId="148" builtinId="53" customBuiltin="true"/>
    <cellStyle name="Comma 5 4 3" xfId="149" builtinId="53" customBuiltin="true"/>
    <cellStyle name="Comma 5 4 4" xfId="150" builtinId="53" customBuiltin="true"/>
    <cellStyle name="Comma 5 5" xfId="151" builtinId="53" customBuiltin="true"/>
    <cellStyle name="Comma 5 6" xfId="152" builtinId="53" customBuiltin="true"/>
    <cellStyle name="Comma 5 7" xfId="153" builtinId="53" customBuiltin="true"/>
    <cellStyle name="Comma 5 8" xfId="154" builtinId="53" customBuiltin="true"/>
    <cellStyle name="Comma 5 9" xfId="155" builtinId="53" customBuiltin="true"/>
    <cellStyle name="Comma 6" xfId="156" builtinId="53" customBuiltin="true"/>
    <cellStyle name="Comma 6 2" xfId="157" builtinId="53" customBuiltin="true"/>
    <cellStyle name="Comma 6 2 2" xfId="158" builtinId="53" customBuiltin="true"/>
    <cellStyle name="Comma 6 2 2 2" xfId="159" builtinId="53" customBuiltin="true"/>
    <cellStyle name="Comma 6 2 2 3" xfId="160" builtinId="53" customBuiltin="true"/>
    <cellStyle name="Comma 6 2 2 4" xfId="161" builtinId="53" customBuiltin="true"/>
    <cellStyle name="Comma 6 2 3" xfId="162" builtinId="53" customBuiltin="true"/>
    <cellStyle name="Comma 6 2 4" xfId="163" builtinId="53" customBuiltin="true"/>
    <cellStyle name="Comma 6 2 5" xfId="164" builtinId="53" customBuiltin="true"/>
    <cellStyle name="Comma 6 2 6" xfId="165" builtinId="53" customBuiltin="true"/>
    <cellStyle name="Comma 6 3" xfId="166" builtinId="53" customBuiltin="true"/>
    <cellStyle name="Comma 6 3 2" xfId="167" builtinId="53" customBuiltin="true"/>
    <cellStyle name="Comma 6 3 3" xfId="168" builtinId="53" customBuiltin="true"/>
    <cellStyle name="Comma 6 3 4" xfId="169" builtinId="53" customBuiltin="true"/>
    <cellStyle name="Comma 6 4" xfId="170" builtinId="53" customBuiltin="true"/>
    <cellStyle name="Comma 6 5" xfId="171" builtinId="53" customBuiltin="true"/>
    <cellStyle name="Comma 6 6" xfId="172" builtinId="53" customBuiltin="true"/>
    <cellStyle name="Comma 6 7" xfId="173" builtinId="53" customBuiltin="true"/>
    <cellStyle name="Comma 6 8" xfId="174" builtinId="53" customBuiltin="true"/>
    <cellStyle name="Comma 7" xfId="175" builtinId="53" customBuiltin="true"/>
    <cellStyle name="Comma 7 2" xfId="176" builtinId="53" customBuiltin="true"/>
    <cellStyle name="Comma 7 2 2" xfId="177" builtinId="53" customBuiltin="true"/>
    <cellStyle name="Comma 7 2 2 2" xfId="178" builtinId="53" customBuiltin="true"/>
    <cellStyle name="Comma 7 2 2 3" xfId="179" builtinId="53" customBuiltin="true"/>
    <cellStyle name="Comma 7 2 2 4" xfId="180" builtinId="53" customBuiltin="true"/>
    <cellStyle name="Comma 7 2 3" xfId="181" builtinId="53" customBuiltin="true"/>
    <cellStyle name="Comma 7 2 4" xfId="182" builtinId="53" customBuiltin="true"/>
    <cellStyle name="Comma 7 2 5" xfId="183" builtinId="53" customBuiltin="true"/>
    <cellStyle name="Comma 7 2 6" xfId="184" builtinId="53" customBuiltin="true"/>
    <cellStyle name="Comma 7 3" xfId="185" builtinId="53" customBuiltin="true"/>
    <cellStyle name="Comma 7 3 2" xfId="186" builtinId="53" customBuiltin="true"/>
    <cellStyle name="Comma 7 3 3" xfId="187" builtinId="53" customBuiltin="true"/>
    <cellStyle name="Comma 7 3 4" xfId="188" builtinId="53" customBuiltin="true"/>
    <cellStyle name="Comma 7 4" xfId="189" builtinId="53" customBuiltin="true"/>
    <cellStyle name="Comma 7 5" xfId="190" builtinId="53" customBuiltin="true"/>
    <cellStyle name="Comma 7 6" xfId="191" builtinId="53" customBuiltin="true"/>
    <cellStyle name="Comma 7 7" xfId="192" builtinId="53" customBuiltin="true"/>
    <cellStyle name="Comma 8" xfId="193" builtinId="53" customBuiltin="true"/>
    <cellStyle name="Comma 8 2" xfId="194" builtinId="53" customBuiltin="true"/>
    <cellStyle name="Comma 8 3" xfId="195" builtinId="53" customBuiltin="true"/>
    <cellStyle name="Comma 9" xfId="196" builtinId="53" customBuiltin="true"/>
    <cellStyle name="Comma0" xfId="197" builtinId="53" customBuiltin="true"/>
    <cellStyle name="Currency 0" xfId="198" builtinId="53" customBuiltin="true"/>
    <cellStyle name="Currency 2" xfId="199" builtinId="53" customBuiltin="true"/>
    <cellStyle name="Currency 2 2" xfId="200" builtinId="53" customBuiltin="true"/>
    <cellStyle name="Currency 3" xfId="201" builtinId="53" customBuiltin="true"/>
    <cellStyle name="Currency 3 2" xfId="202" builtinId="53" customBuiltin="true"/>
    <cellStyle name="Currency 4" xfId="203" builtinId="53" customBuiltin="true"/>
    <cellStyle name="Currency0" xfId="204" builtinId="53" customBuiltin="true"/>
    <cellStyle name="Data" xfId="205" builtinId="53" customBuiltin="true"/>
    <cellStyle name="Date" xfId="206" builtinId="53" customBuiltin="true"/>
    <cellStyle name="Fixed" xfId="207" builtinId="53" customBuiltin="true"/>
    <cellStyle name="Fixed (1)" xfId="208" builtinId="53" customBuiltin="true"/>
    <cellStyle name="Hanging Dollars" xfId="209" builtinId="53" customBuiltin="true"/>
    <cellStyle name="Hyperlink 2" xfId="210" builtinId="53" customBuiltin="true"/>
    <cellStyle name="Intermediate Calculations" xfId="211" builtinId="53" customBuiltin="true"/>
    <cellStyle name="new" xfId="212" builtinId="53" customBuiltin="true"/>
    <cellStyle name="Normal 10" xfId="213" builtinId="53" customBuiltin="true"/>
    <cellStyle name="Normal 10 2" xfId="214" builtinId="53" customBuiltin="true"/>
    <cellStyle name="Normal 10 2 2" xfId="215" builtinId="53" customBuiltin="true"/>
    <cellStyle name="Normal 10 2 2 2" xfId="216" builtinId="53" customBuiltin="true"/>
    <cellStyle name="Normal 10 2 2 3" xfId="217" builtinId="53" customBuiltin="true"/>
    <cellStyle name="Normal 10 2 2 4" xfId="218" builtinId="53" customBuiltin="true"/>
    <cellStyle name="Normal 10 2 3" xfId="219" builtinId="53" customBuiltin="true"/>
    <cellStyle name="Normal 10 2 4" xfId="220" builtinId="53" customBuiltin="true"/>
    <cellStyle name="Normal 10 2 5" xfId="221" builtinId="53" customBuiltin="true"/>
    <cellStyle name="Normal 10 2 6" xfId="222" builtinId="53" customBuiltin="true"/>
    <cellStyle name="Normal 10 3" xfId="223" builtinId="53" customBuiltin="true"/>
    <cellStyle name="Normal 10 3 2" xfId="224" builtinId="53" customBuiltin="true"/>
    <cellStyle name="Normal 10 3 3" xfId="225" builtinId="53" customBuiltin="true"/>
    <cellStyle name="Normal 10 3 4" xfId="226" builtinId="53" customBuiltin="true"/>
    <cellStyle name="Normal 10 4" xfId="227" builtinId="53" customBuiltin="true"/>
    <cellStyle name="Normal 10 5" xfId="228" builtinId="53" customBuiltin="true"/>
    <cellStyle name="Normal 10 6" xfId="229" builtinId="53" customBuiltin="true"/>
    <cellStyle name="Normal 10 7" xfId="230" builtinId="53" customBuiltin="true"/>
    <cellStyle name="Normal 11" xfId="231" builtinId="53" customBuiltin="true"/>
    <cellStyle name="Normal 11 2" xfId="232" builtinId="53" customBuiltin="true"/>
    <cellStyle name="Normal 11 2 2" xfId="233" builtinId="53" customBuiltin="true"/>
    <cellStyle name="Normal 11 2 3" xfId="234" builtinId="53" customBuiltin="true"/>
    <cellStyle name="Normal 11 2 4" xfId="235" builtinId="53" customBuiltin="true"/>
    <cellStyle name="Normal 11 3" xfId="236" builtinId="53" customBuiltin="true"/>
    <cellStyle name="Normal 11 4" xfId="237" builtinId="53" customBuiltin="true"/>
    <cellStyle name="Normal 11 5" xfId="238" builtinId="53" customBuiltin="true"/>
    <cellStyle name="Normal 11 6" xfId="239" builtinId="53" customBuiltin="true"/>
    <cellStyle name="Normal 12" xfId="240" builtinId="53" customBuiltin="true"/>
    <cellStyle name="Normal 12 2" xfId="241" builtinId="53" customBuiltin="true"/>
    <cellStyle name="Normal 12 3" xfId="242" builtinId="53" customBuiltin="true"/>
    <cellStyle name="Normal 12 4" xfId="243" builtinId="53" customBuiltin="true"/>
    <cellStyle name="Normal 12 5" xfId="244" builtinId="53" customBuiltin="true"/>
    <cellStyle name="Normal 13" xfId="245" builtinId="53" customBuiltin="true"/>
    <cellStyle name="Normal 13 2" xfId="246" builtinId="53" customBuiltin="true"/>
    <cellStyle name="Normal 13 3" xfId="247" builtinId="53" customBuiltin="true"/>
    <cellStyle name="Normal 14" xfId="248" builtinId="53" customBuiltin="true"/>
    <cellStyle name="Normal 14 2" xfId="249" builtinId="53" customBuiltin="true"/>
    <cellStyle name="Normal 14 3" xfId="250" builtinId="53" customBuiltin="true"/>
    <cellStyle name="Normal 14 4" xfId="251" builtinId="53" customBuiltin="true"/>
    <cellStyle name="Normal 14 5" xfId="252" builtinId="53" customBuiltin="true"/>
    <cellStyle name="Normal 15" xfId="253" builtinId="53" customBuiltin="true"/>
    <cellStyle name="Normal 15 2" xfId="254" builtinId="53" customBuiltin="true"/>
    <cellStyle name="Normal 16" xfId="255" builtinId="53" customBuiltin="true"/>
    <cellStyle name="Normal 17" xfId="256" builtinId="53" customBuiltin="true"/>
    <cellStyle name="Normal 18" xfId="257" builtinId="53" customBuiltin="true"/>
    <cellStyle name="Normal 19" xfId="258" builtinId="53" customBuiltin="true"/>
    <cellStyle name="Normal 2" xfId="259" builtinId="53" customBuiltin="true"/>
    <cellStyle name="Normal 2 2" xfId="260" builtinId="53" customBuiltin="true"/>
    <cellStyle name="Normal 2 2 2" xfId="261" builtinId="53" customBuiltin="true"/>
    <cellStyle name="Normal 2 2 3" xfId="262" builtinId="53" customBuiltin="true"/>
    <cellStyle name="Normal 2 3" xfId="263" builtinId="53" customBuiltin="true"/>
    <cellStyle name="Normal 2 4" xfId="264" builtinId="53" customBuiltin="true"/>
    <cellStyle name="Normal 2 5" xfId="265" builtinId="53" customBuiltin="true"/>
    <cellStyle name="Normal 3" xfId="266" builtinId="53" customBuiltin="true"/>
    <cellStyle name="Normal 3 2" xfId="267" builtinId="53" customBuiltin="true"/>
    <cellStyle name="Normal 3 2 2" xfId="268" builtinId="53" customBuiltin="true"/>
    <cellStyle name="Normal 3 3" xfId="269" builtinId="53" customBuiltin="true"/>
    <cellStyle name="Normal 3 4" xfId="270" builtinId="53" customBuiltin="true"/>
    <cellStyle name="Normal 3 5" xfId="271" builtinId="53" customBuiltin="true"/>
    <cellStyle name="Normal 4" xfId="272" builtinId="53" customBuiltin="true"/>
    <cellStyle name="Normal 4 2" xfId="273" builtinId="53" customBuiltin="true"/>
    <cellStyle name="Normal 5" xfId="274" builtinId="53" customBuiltin="true"/>
    <cellStyle name="Normal 5 10" xfId="275" builtinId="53" customBuiltin="true"/>
    <cellStyle name="Normal 5 11" xfId="276" builtinId="53" customBuiltin="true"/>
    <cellStyle name="Normal 5 2" xfId="277" builtinId="53" customBuiltin="true"/>
    <cellStyle name="Normal 5 2 10" xfId="278" builtinId="53" customBuiltin="true"/>
    <cellStyle name="Normal 5 2 11" xfId="279" builtinId="53" customBuiltin="true"/>
    <cellStyle name="Normal 5 2 2" xfId="280" builtinId="53" customBuiltin="true"/>
    <cellStyle name="Normal 5 2 2 2" xfId="281" builtinId="53" customBuiltin="true"/>
    <cellStyle name="Normal 5 2 2 2 2" xfId="282" builtinId="53" customBuiltin="true"/>
    <cellStyle name="Normal 5 2 2 2 2 2" xfId="283" builtinId="53" customBuiltin="true"/>
    <cellStyle name="Normal 5 2 2 2 2 3" xfId="284" builtinId="53" customBuiltin="true"/>
    <cellStyle name="Normal 5 2 2 2 2 4" xfId="285" builtinId="53" customBuiltin="true"/>
    <cellStyle name="Normal 5 2 2 2 3" xfId="286" builtinId="53" customBuiltin="true"/>
    <cellStyle name="Normal 5 2 2 2 4" xfId="287" builtinId="53" customBuiltin="true"/>
    <cellStyle name="Normal 5 2 2 2 5" xfId="288" builtinId="53" customBuiltin="true"/>
    <cellStyle name="Normal 5 2 2 2 6" xfId="289" builtinId="53" customBuiltin="true"/>
    <cellStyle name="Normal 5 2 2 2 7" xfId="290" builtinId="53" customBuiltin="true"/>
    <cellStyle name="Normal 5 2 2 3" xfId="291" builtinId="53" customBuiltin="true"/>
    <cellStyle name="Normal 5 2 2 3 2" xfId="292" builtinId="53" customBuiltin="true"/>
    <cellStyle name="Normal 5 2 2 3 3" xfId="293" builtinId="53" customBuiltin="true"/>
    <cellStyle name="Normal 5 2 2 3 4" xfId="294" builtinId="53" customBuiltin="true"/>
    <cellStyle name="Normal 5 2 2 4" xfId="295" builtinId="53" customBuiltin="true"/>
    <cellStyle name="Normal 5 2 2 5" xfId="296" builtinId="53" customBuiltin="true"/>
    <cellStyle name="Normal 5 2 2 6" xfId="297" builtinId="53" customBuiltin="true"/>
    <cellStyle name="Normal 5 2 2 7" xfId="298" builtinId="53" customBuiltin="true"/>
    <cellStyle name="Normal 5 2 2 8" xfId="299" builtinId="53" customBuiltin="true"/>
    <cellStyle name="Normal 5 2 3" xfId="300" builtinId="53" customBuiltin="true"/>
    <cellStyle name="Normal 5 2 3 2" xfId="301" builtinId="53" customBuiltin="true"/>
    <cellStyle name="Normal 5 2 3 2 2" xfId="302" builtinId="53" customBuiltin="true"/>
    <cellStyle name="Normal 5 2 3 2 2 2" xfId="303" builtinId="53" customBuiltin="true"/>
    <cellStyle name="Normal 5 2 3 2 2 3" xfId="304" builtinId="53" customBuiltin="true"/>
    <cellStyle name="Normal 5 2 3 2 2 4" xfId="305" builtinId="53" customBuiltin="true"/>
    <cellStyle name="Normal 5 2 3 2 3" xfId="306" builtinId="53" customBuiltin="true"/>
    <cellStyle name="Normal 5 2 3 2 4" xfId="307" builtinId="53" customBuiltin="true"/>
    <cellStyle name="Normal 5 2 3 2 5" xfId="308" builtinId="53" customBuiltin="true"/>
    <cellStyle name="Normal 5 2 3 2 6" xfId="309" builtinId="53" customBuiltin="true"/>
    <cellStyle name="Normal 5 2 3 3" xfId="310" builtinId="53" customBuiltin="true"/>
    <cellStyle name="Normal 5 2 3 3 2" xfId="311" builtinId="53" customBuiltin="true"/>
    <cellStyle name="Normal 5 2 3 3 3" xfId="312" builtinId="53" customBuiltin="true"/>
    <cellStyle name="Normal 5 2 3 3 4" xfId="313" builtinId="53" customBuiltin="true"/>
    <cellStyle name="Normal 5 2 3 3 5" xfId="314" builtinId="53" customBuiltin="true"/>
    <cellStyle name="Normal 5 2 3 4" xfId="315" builtinId="53" customBuiltin="true"/>
    <cellStyle name="Normal 5 2 3 5" xfId="316" builtinId="53" customBuiltin="true"/>
    <cellStyle name="Normal 5 2 3 6" xfId="317" builtinId="53" customBuiltin="true"/>
    <cellStyle name="Normal 5 2 3 7" xfId="318" builtinId="53" customBuiltin="true"/>
    <cellStyle name="Normal 5 2 3 8" xfId="319" builtinId="53" customBuiltin="true"/>
    <cellStyle name="Normal 5 2 4" xfId="320" builtinId="53" customBuiltin="true"/>
    <cellStyle name="Normal 5 2 4 2" xfId="321" builtinId="53" customBuiltin="true"/>
    <cellStyle name="Normal 5 2 4 2 2" xfId="322" builtinId="53" customBuiltin="true"/>
    <cellStyle name="Normal 5 2 4 2 2 2" xfId="323" builtinId="53" customBuiltin="true"/>
    <cellStyle name="Normal 5 2 4 2 2 3" xfId="324" builtinId="53" customBuiltin="true"/>
    <cellStyle name="Normal 5 2 4 2 2 4" xfId="325" builtinId="53" customBuiltin="true"/>
    <cellStyle name="Normal 5 2 4 2 3" xfId="326" builtinId="53" customBuiltin="true"/>
    <cellStyle name="Normal 5 2 4 2 4" xfId="327" builtinId="53" customBuiltin="true"/>
    <cellStyle name="Normal 5 2 4 2 5" xfId="328" builtinId="53" customBuiltin="true"/>
    <cellStyle name="Normal 5 2 4 2 6" xfId="329" builtinId="53" customBuiltin="true"/>
    <cellStyle name="Normal 5 2 4 3" xfId="330" builtinId="53" customBuiltin="true"/>
    <cellStyle name="Normal 5 2 4 3 2" xfId="331" builtinId="53" customBuiltin="true"/>
    <cellStyle name="Normal 5 2 4 3 3" xfId="332" builtinId="53" customBuiltin="true"/>
    <cellStyle name="Normal 5 2 4 3 4" xfId="333" builtinId="53" customBuiltin="true"/>
    <cellStyle name="Normal 5 2 4 4" xfId="334" builtinId="53" customBuiltin="true"/>
    <cellStyle name="Normal 5 2 4 5" xfId="335" builtinId="53" customBuiltin="true"/>
    <cellStyle name="Normal 5 2 4 6" xfId="336" builtinId="53" customBuiltin="true"/>
    <cellStyle name="Normal 5 2 4 7" xfId="337" builtinId="53" customBuiltin="true"/>
    <cellStyle name="Normal 5 2 5" xfId="338" builtinId="53" customBuiltin="true"/>
    <cellStyle name="Normal 5 2 5 2" xfId="339" builtinId="53" customBuiltin="true"/>
    <cellStyle name="Normal 5 2 5 2 2" xfId="340" builtinId="53" customBuiltin="true"/>
    <cellStyle name="Normal 5 2 5 2 3" xfId="341" builtinId="53" customBuiltin="true"/>
    <cellStyle name="Normal 5 2 5 2 4" xfId="342" builtinId="53" customBuiltin="true"/>
    <cellStyle name="Normal 5 2 5 3" xfId="343" builtinId="53" customBuiltin="true"/>
    <cellStyle name="Normal 5 2 5 4" xfId="344" builtinId="53" customBuiltin="true"/>
    <cellStyle name="Normal 5 2 5 5" xfId="345" builtinId="53" customBuiltin="true"/>
    <cellStyle name="Normal 5 2 5 6" xfId="346" builtinId="53" customBuiltin="true"/>
    <cellStyle name="Normal 5 2 6" xfId="347" builtinId="53" customBuiltin="true"/>
    <cellStyle name="Normal 5 2 6 2" xfId="348" builtinId="53" customBuiltin="true"/>
    <cellStyle name="Normal 5 2 6 3" xfId="349" builtinId="53" customBuiltin="true"/>
    <cellStyle name="Normal 5 2 6 4" xfId="350" builtinId="53" customBuiltin="true"/>
    <cellStyle name="Normal 5 2 7" xfId="351" builtinId="53" customBuiltin="true"/>
    <cellStyle name="Normal 5 2 8" xfId="352" builtinId="53" customBuiltin="true"/>
    <cellStyle name="Normal 5 2 9" xfId="353" builtinId="53" customBuiltin="true"/>
    <cellStyle name="Normal 5 3" xfId="354" builtinId="53" customBuiltin="true"/>
    <cellStyle name="Normal 5 3 2" xfId="355" builtinId="53" customBuiltin="true"/>
    <cellStyle name="Normal 5 3 2 2" xfId="356" builtinId="53" customBuiltin="true"/>
    <cellStyle name="Normal 5 3 2 2 2" xfId="357" builtinId="53" customBuiltin="true"/>
    <cellStyle name="Normal 5 3 2 2 3" xfId="358" builtinId="53" customBuiltin="true"/>
    <cellStyle name="Normal 5 3 2 2 4" xfId="359" builtinId="53" customBuiltin="true"/>
    <cellStyle name="Normal 5 3 2 3" xfId="360" builtinId="53" customBuiltin="true"/>
    <cellStyle name="Normal 5 3 2 4" xfId="361" builtinId="53" customBuiltin="true"/>
    <cellStyle name="Normal 5 3 2 5" xfId="362" builtinId="53" customBuiltin="true"/>
    <cellStyle name="Normal 5 3 2 6" xfId="363" builtinId="53" customBuiltin="true"/>
    <cellStyle name="Normal 5 3 2 7" xfId="364" builtinId="53" customBuiltin="true"/>
    <cellStyle name="Normal 5 3 3" xfId="365" builtinId="53" customBuiltin="true"/>
    <cellStyle name="Normal 5 3 3 2" xfId="366" builtinId="53" customBuiltin="true"/>
    <cellStyle name="Normal 5 3 3 3" xfId="367" builtinId="53" customBuiltin="true"/>
    <cellStyle name="Normal 5 3 3 4" xfId="368" builtinId="53" customBuiltin="true"/>
    <cellStyle name="Normal 5 3 4" xfId="369" builtinId="53" customBuiltin="true"/>
    <cellStyle name="Normal 5 3 5" xfId="370" builtinId="53" customBuiltin="true"/>
    <cellStyle name="Normal 5 3 6" xfId="371" builtinId="53" customBuiltin="true"/>
    <cellStyle name="Normal 5 3 7" xfId="372" builtinId="53" customBuiltin="true"/>
    <cellStyle name="Normal 5 3 8" xfId="373" builtinId="53" customBuiltin="true"/>
    <cellStyle name="Normal 5 4" xfId="374" builtinId="53" customBuiltin="true"/>
    <cellStyle name="Normal 5 4 2" xfId="375" builtinId="53" customBuiltin="true"/>
    <cellStyle name="Normal 5 4 2 2" xfId="376" builtinId="53" customBuiltin="true"/>
    <cellStyle name="Normal 5 4 2 2 2" xfId="377" builtinId="53" customBuiltin="true"/>
    <cellStyle name="Normal 5 4 2 2 3" xfId="378" builtinId="53" customBuiltin="true"/>
    <cellStyle name="Normal 5 4 2 2 4" xfId="379" builtinId="53" customBuiltin="true"/>
    <cellStyle name="Normal 5 4 2 3" xfId="380" builtinId="53" customBuiltin="true"/>
    <cellStyle name="Normal 5 4 2 4" xfId="381" builtinId="53" customBuiltin="true"/>
    <cellStyle name="Normal 5 4 2 5" xfId="382" builtinId="53" customBuiltin="true"/>
    <cellStyle name="Normal 5 4 2 6" xfId="383" builtinId="53" customBuiltin="true"/>
    <cellStyle name="Normal 5 4 3" xfId="384" builtinId="53" customBuiltin="true"/>
    <cellStyle name="Normal 5 4 3 2" xfId="385" builtinId="53" customBuiltin="true"/>
    <cellStyle name="Normal 5 4 3 3" xfId="386" builtinId="53" customBuiltin="true"/>
    <cellStyle name="Normal 5 4 3 4" xfId="387" builtinId="53" customBuiltin="true"/>
    <cellStyle name="Normal 5 4 4" xfId="388" builtinId="53" customBuiltin="true"/>
    <cellStyle name="Normal 5 4 5" xfId="389" builtinId="53" customBuiltin="true"/>
    <cellStyle name="Normal 5 4 6" xfId="390" builtinId="53" customBuiltin="true"/>
    <cellStyle name="Normal 5 4 7" xfId="391" builtinId="53" customBuiltin="true"/>
    <cellStyle name="Normal 5 4 8" xfId="392" builtinId="53" customBuiltin="true"/>
    <cellStyle name="Normal 5 5" xfId="393" builtinId="53" customBuiltin="true"/>
    <cellStyle name="Normal 5 5 2" xfId="394" builtinId="53" customBuiltin="true"/>
    <cellStyle name="Normal 5 5 2 2" xfId="395" builtinId="53" customBuiltin="true"/>
    <cellStyle name="Normal 5 5 2 3" xfId="396" builtinId="53" customBuiltin="true"/>
    <cellStyle name="Normal 5 5 2 4" xfId="397" builtinId="53" customBuiltin="true"/>
    <cellStyle name="Normal 5 5 3" xfId="398" builtinId="53" customBuiltin="true"/>
    <cellStyle name="Normal 5 5 4" xfId="399" builtinId="53" customBuiltin="true"/>
    <cellStyle name="Normal 5 5 5" xfId="400" builtinId="53" customBuiltin="true"/>
    <cellStyle name="Normal 5 5 6" xfId="401" builtinId="53" customBuiltin="true"/>
    <cellStyle name="Normal 5 5 7" xfId="402" builtinId="53" customBuiltin="true"/>
    <cellStyle name="Normal 5 6" xfId="403" builtinId="53" customBuiltin="true"/>
    <cellStyle name="Normal 5 6 2" xfId="404" builtinId="53" customBuiltin="true"/>
    <cellStyle name="Normal 5 6 3" xfId="405" builtinId="53" customBuiltin="true"/>
    <cellStyle name="Normal 5 6 4" xfId="406" builtinId="53" customBuiltin="true"/>
    <cellStyle name="Normal 5 7" xfId="407" builtinId="53" customBuiltin="true"/>
    <cellStyle name="Normal 5 8" xfId="408" builtinId="53" customBuiltin="true"/>
    <cellStyle name="Normal 5 9" xfId="409" builtinId="53" customBuiltin="true"/>
    <cellStyle name="Normal 6" xfId="410" builtinId="53" customBuiltin="true"/>
    <cellStyle name="Normal 6 2" xfId="411" builtinId="53" customBuiltin="true"/>
    <cellStyle name="Normal 7" xfId="412" builtinId="53" customBuiltin="true"/>
    <cellStyle name="Normal 7 10" xfId="413" builtinId="53" customBuiltin="true"/>
    <cellStyle name="Normal 7 2" xfId="414" builtinId="53" customBuiltin="true"/>
    <cellStyle name="Normal 7 2 2" xfId="415" builtinId="53" customBuiltin="true"/>
    <cellStyle name="Normal 7 2 2 2" xfId="416" builtinId="53" customBuiltin="true"/>
    <cellStyle name="Normal 7 2 2 2 2" xfId="417" builtinId="53" customBuiltin="true"/>
    <cellStyle name="Normal 7 2 2 2 3" xfId="418" builtinId="53" customBuiltin="true"/>
    <cellStyle name="Normal 7 2 2 2 4" xfId="419" builtinId="53" customBuiltin="true"/>
    <cellStyle name="Normal 7 2 2 3" xfId="420" builtinId="53" customBuiltin="true"/>
    <cellStyle name="Normal 7 2 2 4" xfId="421" builtinId="53" customBuiltin="true"/>
    <cellStyle name="Normal 7 2 2 5" xfId="422" builtinId="53" customBuiltin="true"/>
    <cellStyle name="Normal 7 2 2 6" xfId="423" builtinId="53" customBuiltin="true"/>
    <cellStyle name="Normal 7 2 2 7" xfId="424" builtinId="53" customBuiltin="true"/>
    <cellStyle name="Normal 7 2 3" xfId="425" builtinId="53" customBuiltin="true"/>
    <cellStyle name="Normal 7 2 3 2" xfId="426" builtinId="53" customBuiltin="true"/>
    <cellStyle name="Normal 7 2 3 3" xfId="427" builtinId="53" customBuiltin="true"/>
    <cellStyle name="Normal 7 2 3 4" xfId="428" builtinId="53" customBuiltin="true"/>
    <cellStyle name="Normal 7 2 4" xfId="429" builtinId="53" customBuiltin="true"/>
    <cellStyle name="Normal 7 2 5" xfId="430" builtinId="53" customBuiltin="true"/>
    <cellStyle name="Normal 7 2 6" xfId="431" builtinId="53" customBuiltin="true"/>
    <cellStyle name="Normal 7 2 7" xfId="432" builtinId="53" customBuiltin="true"/>
    <cellStyle name="Normal 7 2 8" xfId="433" builtinId="53" customBuiltin="true"/>
    <cellStyle name="Normal 7 3" xfId="434" builtinId="53" customBuiltin="true"/>
    <cellStyle name="Normal 7 3 2" xfId="435" builtinId="53" customBuiltin="true"/>
    <cellStyle name="Normal 7 3 2 2" xfId="436" builtinId="53" customBuiltin="true"/>
    <cellStyle name="Normal 7 3 2 2 2" xfId="437" builtinId="53" customBuiltin="true"/>
    <cellStyle name="Normal 7 3 2 2 3" xfId="438" builtinId="53" customBuiltin="true"/>
    <cellStyle name="Normal 7 3 2 2 4" xfId="439" builtinId="53" customBuiltin="true"/>
    <cellStyle name="Normal 7 3 2 3" xfId="440" builtinId="53" customBuiltin="true"/>
    <cellStyle name="Normal 7 3 2 4" xfId="441" builtinId="53" customBuiltin="true"/>
    <cellStyle name="Normal 7 3 2 5" xfId="442" builtinId="53" customBuiltin="true"/>
    <cellStyle name="Normal 7 3 2 6" xfId="443" builtinId="53" customBuiltin="true"/>
    <cellStyle name="Normal 7 3 3" xfId="444" builtinId="53" customBuiltin="true"/>
    <cellStyle name="Normal 7 3 3 2" xfId="445" builtinId="53" customBuiltin="true"/>
    <cellStyle name="Normal 7 3 3 3" xfId="446" builtinId="53" customBuiltin="true"/>
    <cellStyle name="Normal 7 3 3 4" xfId="447" builtinId="53" customBuiltin="true"/>
    <cellStyle name="Normal 7 3 4" xfId="448" builtinId="53" customBuiltin="true"/>
    <cellStyle name="Normal 7 3 5" xfId="449" builtinId="53" customBuiltin="true"/>
    <cellStyle name="Normal 7 3 6" xfId="450" builtinId="53" customBuiltin="true"/>
    <cellStyle name="Normal 7 3 7" xfId="451" builtinId="53" customBuiltin="true"/>
    <cellStyle name="Normal 7 3 8" xfId="452" builtinId="53" customBuiltin="true"/>
    <cellStyle name="Normal 7 4" xfId="453" builtinId="53" customBuiltin="true"/>
    <cellStyle name="Normal 7 4 2" xfId="454" builtinId="53" customBuiltin="true"/>
    <cellStyle name="Normal 7 4 2 2" xfId="455" builtinId="53" customBuiltin="true"/>
    <cellStyle name="Normal 7 4 2 3" xfId="456" builtinId="53" customBuiltin="true"/>
    <cellStyle name="Normal 7 4 2 4" xfId="457" builtinId="53" customBuiltin="true"/>
    <cellStyle name="Normal 7 4 3" xfId="458" builtinId="53" customBuiltin="true"/>
    <cellStyle name="Normal 7 4 4" xfId="459" builtinId="53" customBuiltin="true"/>
    <cellStyle name="Normal 7 4 5" xfId="460" builtinId="53" customBuiltin="true"/>
    <cellStyle name="Normal 7 4 6" xfId="461" builtinId="53" customBuiltin="true"/>
    <cellStyle name="Normal 7 5" xfId="462" builtinId="53" customBuiltin="true"/>
    <cellStyle name="Normal 7 5 2" xfId="463" builtinId="53" customBuiltin="true"/>
    <cellStyle name="Normal 7 5 3" xfId="464" builtinId="53" customBuiltin="true"/>
    <cellStyle name="Normal 7 5 4" xfId="465" builtinId="53" customBuiltin="true"/>
    <cellStyle name="Normal 7 6" xfId="466" builtinId="53" customBuiltin="true"/>
    <cellStyle name="Normal 7 7" xfId="467" builtinId="53" customBuiltin="true"/>
    <cellStyle name="Normal 7 8" xfId="468" builtinId="53" customBuiltin="true"/>
    <cellStyle name="Normal 7 9" xfId="469" builtinId="53" customBuiltin="true"/>
    <cellStyle name="Normal 8" xfId="470" builtinId="53" customBuiltin="true"/>
    <cellStyle name="Normal 8 2" xfId="471" builtinId="53" customBuiltin="true"/>
    <cellStyle name="Normal 8 2 2" xfId="472" builtinId="53" customBuiltin="true"/>
    <cellStyle name="Normal 8 2 2 2" xfId="473" builtinId="53" customBuiltin="true"/>
    <cellStyle name="Normal 8 2 2 2 2" xfId="474" builtinId="53" customBuiltin="true"/>
    <cellStyle name="Normal 8 2 2 2 3" xfId="475" builtinId="53" customBuiltin="true"/>
    <cellStyle name="Normal 8 2 2 2 4" xfId="476" builtinId="53" customBuiltin="true"/>
    <cellStyle name="Normal 8 2 2 3" xfId="477" builtinId="53" customBuiltin="true"/>
    <cellStyle name="Normal 8 2 2 4" xfId="478" builtinId="53" customBuiltin="true"/>
    <cellStyle name="Normal 8 2 2 5" xfId="479" builtinId="53" customBuiltin="true"/>
    <cellStyle name="Normal 8 2 2 6" xfId="480" builtinId="53" customBuiltin="true"/>
    <cellStyle name="Normal 8 2 3" xfId="481" builtinId="53" customBuiltin="true"/>
    <cellStyle name="Normal 8 2 3 2" xfId="482" builtinId="53" customBuiltin="true"/>
    <cellStyle name="Normal 8 2 3 3" xfId="483" builtinId="53" customBuiltin="true"/>
    <cellStyle name="Normal 8 2 3 4" xfId="484" builtinId="53" customBuiltin="true"/>
    <cellStyle name="Normal 8 2 4" xfId="485" builtinId="53" customBuiltin="true"/>
    <cellStyle name="Normal 8 2 5" xfId="486" builtinId="53" customBuiltin="true"/>
    <cellStyle name="Normal 8 2 6" xfId="487" builtinId="53" customBuiltin="true"/>
    <cellStyle name="Normal 8 2 7" xfId="488" builtinId="53" customBuiltin="true"/>
    <cellStyle name="Normal 8 2 8" xfId="489" builtinId="53" customBuiltin="true"/>
    <cellStyle name="Normal 8 3" xfId="490" builtinId="53" customBuiltin="true"/>
    <cellStyle name="Normal 8 3 2" xfId="491" builtinId="53" customBuiltin="true"/>
    <cellStyle name="Normal 8 3 2 2" xfId="492" builtinId="53" customBuiltin="true"/>
    <cellStyle name="Normal 8 3 2 3" xfId="493" builtinId="53" customBuiltin="true"/>
    <cellStyle name="Normal 8 3 2 4" xfId="494" builtinId="53" customBuiltin="true"/>
    <cellStyle name="Normal 8 3 3" xfId="495" builtinId="53" customBuiltin="true"/>
    <cellStyle name="Normal 8 3 4" xfId="496" builtinId="53" customBuiltin="true"/>
    <cellStyle name="Normal 8 3 5" xfId="497" builtinId="53" customBuiltin="true"/>
    <cellStyle name="Normal 8 3 6" xfId="498" builtinId="53" customBuiltin="true"/>
    <cellStyle name="Normal 8 4" xfId="499" builtinId="53" customBuiltin="true"/>
    <cellStyle name="Normal 8 4 2" xfId="500" builtinId="53" customBuiltin="true"/>
    <cellStyle name="Normal 8 4 3" xfId="501" builtinId="53" customBuiltin="true"/>
    <cellStyle name="Normal 8 4 4" xfId="502" builtinId="53" customBuiltin="true"/>
    <cellStyle name="Normal 8 4 5" xfId="503" builtinId="53" customBuiltin="true"/>
    <cellStyle name="Normal 8 5" xfId="504" builtinId="53" customBuiltin="true"/>
    <cellStyle name="Normal 8 6" xfId="505" builtinId="53" customBuiltin="true"/>
    <cellStyle name="Normal 8 7" xfId="506" builtinId="53" customBuiltin="true"/>
    <cellStyle name="Normal 8 8" xfId="507" builtinId="53" customBuiltin="true"/>
    <cellStyle name="Normal 8 9" xfId="508" builtinId="53" customBuiltin="true"/>
    <cellStyle name="Normal 9" xfId="509" builtinId="53" customBuiltin="true"/>
    <cellStyle name="Normal 9 2" xfId="510" builtinId="53" customBuiltin="true"/>
    <cellStyle name="Normal 9 2 2" xfId="511" builtinId="53" customBuiltin="true"/>
    <cellStyle name="Normal 9 2 2 2" xfId="512" builtinId="53" customBuiltin="true"/>
    <cellStyle name="Normal 9 2 2 3" xfId="513" builtinId="53" customBuiltin="true"/>
    <cellStyle name="Normal 9 2 2 4" xfId="514" builtinId="53" customBuiltin="true"/>
    <cellStyle name="Normal 9 2 3" xfId="515" builtinId="53" customBuiltin="true"/>
    <cellStyle name="Normal 9 2 4" xfId="516" builtinId="53" customBuiltin="true"/>
    <cellStyle name="Normal 9 2 5" xfId="517" builtinId="53" customBuiltin="true"/>
    <cellStyle name="Normal 9 2 6" xfId="518" builtinId="53" customBuiltin="true"/>
    <cellStyle name="Normal 9 3" xfId="519" builtinId="53" customBuiltin="true"/>
    <cellStyle name="Normal 9 3 2" xfId="520" builtinId="53" customBuiltin="true"/>
    <cellStyle name="Normal 9 3 3" xfId="521" builtinId="53" customBuiltin="true"/>
    <cellStyle name="Normal 9 3 4" xfId="522" builtinId="53" customBuiltin="true"/>
    <cellStyle name="Normal 9 4" xfId="523" builtinId="53" customBuiltin="true"/>
    <cellStyle name="Normal 9 5" xfId="524" builtinId="53" customBuiltin="true"/>
    <cellStyle name="Normal 9 6" xfId="525" builtinId="53" customBuiltin="true"/>
    <cellStyle name="Normal 9 7" xfId="526" builtinId="53" customBuiltin="true"/>
    <cellStyle name="Normal 9 8" xfId="527" builtinId="53" customBuiltin="true"/>
    <cellStyle name="Note 2" xfId="528" builtinId="53" customBuiltin="true"/>
    <cellStyle name="Percent 0" xfId="529" builtinId="53" customBuiltin="true"/>
    <cellStyle name="Percent 2" xfId="530" builtinId="53" customBuiltin="true"/>
    <cellStyle name="Percent 2 2" xfId="531" builtinId="53" customBuiltin="true"/>
    <cellStyle name="Percent 2 2 2" xfId="532" builtinId="53" customBuiltin="true"/>
    <cellStyle name="Percent 2 3" xfId="533" builtinId="53" customBuiltin="true"/>
    <cellStyle name="Percent 2 3 2" xfId="534" builtinId="53" customBuiltin="true"/>
    <cellStyle name="Percent 2 3 3" xfId="535" builtinId="53" customBuiltin="true"/>
    <cellStyle name="Percent 2 4" xfId="536" builtinId="53" customBuiltin="true"/>
    <cellStyle name="Percent 3" xfId="537" builtinId="53" customBuiltin="true"/>
    <cellStyle name="Percent 3 2" xfId="538" builtinId="53" customBuiltin="true"/>
    <cellStyle name="Percent 3 2 10" xfId="539" builtinId="53" customBuiltin="true"/>
    <cellStyle name="Percent 3 2 2" xfId="540" builtinId="53" customBuiltin="true"/>
    <cellStyle name="Percent 3 2 2 2" xfId="541" builtinId="53" customBuiltin="true"/>
    <cellStyle name="Percent 3 2 2 2 2" xfId="542" builtinId="53" customBuiltin="true"/>
    <cellStyle name="Percent 3 2 2 2 2 2" xfId="543" builtinId="53" customBuiltin="true"/>
    <cellStyle name="Percent 3 2 2 2 2 3" xfId="544" builtinId="53" customBuiltin="true"/>
    <cellStyle name="Percent 3 2 2 2 2 4" xfId="545" builtinId="53" customBuiltin="true"/>
    <cellStyle name="Percent 3 2 2 2 3" xfId="546" builtinId="53" customBuiltin="true"/>
    <cellStyle name="Percent 3 2 2 2 4" xfId="547" builtinId="53" customBuiltin="true"/>
    <cellStyle name="Percent 3 2 2 2 5" xfId="548" builtinId="53" customBuiltin="true"/>
    <cellStyle name="Percent 3 2 2 2 6" xfId="549" builtinId="53" customBuiltin="true"/>
    <cellStyle name="Percent 3 2 2 2 7" xfId="550" builtinId="53" customBuiltin="true"/>
    <cellStyle name="Percent 3 2 2 3" xfId="551" builtinId="53" customBuiltin="true"/>
    <cellStyle name="Percent 3 2 2 3 2" xfId="552" builtinId="53" customBuiltin="true"/>
    <cellStyle name="Percent 3 2 2 3 3" xfId="553" builtinId="53" customBuiltin="true"/>
    <cellStyle name="Percent 3 2 2 3 4" xfId="554" builtinId="53" customBuiltin="true"/>
    <cellStyle name="Percent 3 2 2 4" xfId="555" builtinId="53" customBuiltin="true"/>
    <cellStyle name="Percent 3 2 2 5" xfId="556" builtinId="53" customBuiltin="true"/>
    <cellStyle name="Percent 3 2 2 6" xfId="557" builtinId="53" customBuiltin="true"/>
    <cellStyle name="Percent 3 2 2 7" xfId="558" builtinId="53" customBuiltin="true"/>
    <cellStyle name="Percent 3 2 2 8" xfId="559" builtinId="53" customBuiltin="true"/>
    <cellStyle name="Percent 3 2 3" xfId="560" builtinId="53" customBuiltin="true"/>
    <cellStyle name="Percent 3 2 3 2" xfId="561" builtinId="53" customBuiltin="true"/>
    <cellStyle name="Percent 3 2 3 2 2" xfId="562" builtinId="53" customBuiltin="true"/>
    <cellStyle name="Percent 3 2 3 2 2 2" xfId="563" builtinId="53" customBuiltin="true"/>
    <cellStyle name="Percent 3 2 3 2 2 3" xfId="564" builtinId="53" customBuiltin="true"/>
    <cellStyle name="Percent 3 2 3 2 2 4" xfId="565" builtinId="53" customBuiltin="true"/>
    <cellStyle name="Percent 3 2 3 2 3" xfId="566" builtinId="53" customBuiltin="true"/>
    <cellStyle name="Percent 3 2 3 2 4" xfId="567" builtinId="53" customBuiltin="true"/>
    <cellStyle name="Percent 3 2 3 2 5" xfId="568" builtinId="53" customBuiltin="true"/>
    <cellStyle name="Percent 3 2 3 2 6" xfId="569" builtinId="53" customBuiltin="true"/>
    <cellStyle name="Percent 3 2 3 3" xfId="570" builtinId="53" customBuiltin="true"/>
    <cellStyle name="Percent 3 2 3 3 2" xfId="571" builtinId="53" customBuiltin="true"/>
    <cellStyle name="Percent 3 2 3 3 3" xfId="572" builtinId="53" customBuiltin="true"/>
    <cellStyle name="Percent 3 2 3 3 4" xfId="573" builtinId="53" customBuiltin="true"/>
    <cellStyle name="Percent 3 2 3 4" xfId="574" builtinId="53" customBuiltin="true"/>
    <cellStyle name="Percent 3 2 3 5" xfId="575" builtinId="53" customBuiltin="true"/>
    <cellStyle name="Percent 3 2 3 6" xfId="576" builtinId="53" customBuiltin="true"/>
    <cellStyle name="Percent 3 2 3 7" xfId="577" builtinId="53" customBuiltin="true"/>
    <cellStyle name="Percent 3 2 3 8" xfId="578" builtinId="53" customBuiltin="true"/>
    <cellStyle name="Percent 3 2 4" xfId="579" builtinId="53" customBuiltin="true"/>
    <cellStyle name="Percent 3 2 4 2" xfId="580" builtinId="53" customBuiltin="true"/>
    <cellStyle name="Percent 3 2 4 2 2" xfId="581" builtinId="53" customBuiltin="true"/>
    <cellStyle name="Percent 3 2 4 2 3" xfId="582" builtinId="53" customBuiltin="true"/>
    <cellStyle name="Percent 3 2 4 2 4" xfId="583" builtinId="53" customBuiltin="true"/>
    <cellStyle name="Percent 3 2 4 3" xfId="584" builtinId="53" customBuiltin="true"/>
    <cellStyle name="Percent 3 2 4 4" xfId="585" builtinId="53" customBuiltin="true"/>
    <cellStyle name="Percent 3 2 4 5" xfId="586" builtinId="53" customBuiltin="true"/>
    <cellStyle name="Percent 3 2 4 6" xfId="587" builtinId="53" customBuiltin="true"/>
    <cellStyle name="Percent 3 2 5" xfId="588" builtinId="53" customBuiltin="true"/>
    <cellStyle name="Percent 3 2 5 2" xfId="589" builtinId="53" customBuiltin="true"/>
    <cellStyle name="Percent 3 2 5 3" xfId="590" builtinId="53" customBuiltin="true"/>
    <cellStyle name="Percent 3 2 5 4" xfId="591" builtinId="53" customBuiltin="true"/>
    <cellStyle name="Percent 3 2 6" xfId="592" builtinId="53" customBuiltin="true"/>
    <cellStyle name="Percent 3 2 7" xfId="593" builtinId="53" customBuiltin="true"/>
    <cellStyle name="Percent 3 2 8" xfId="594" builtinId="53" customBuiltin="true"/>
    <cellStyle name="Percent 3 2 9" xfId="595" builtinId="53" customBuiltin="true"/>
    <cellStyle name="Percent 3 3" xfId="596" builtinId="53" customBuiltin="true"/>
    <cellStyle name="Percent 3 3 2" xfId="597" builtinId="53" customBuiltin="true"/>
    <cellStyle name="Percent 3 3 2 2" xfId="598" builtinId="53" customBuiltin="true"/>
    <cellStyle name="Percent 3 3 2 2 2" xfId="599" builtinId="53" customBuiltin="true"/>
    <cellStyle name="Percent 3 3 2 2 2 2" xfId="600" builtinId="53" customBuiltin="true"/>
    <cellStyle name="Percent 3 3 2 2 2 3" xfId="601" builtinId="53" customBuiltin="true"/>
    <cellStyle name="Percent 3 3 2 2 2 4" xfId="602" builtinId="53" customBuiltin="true"/>
    <cellStyle name="Percent 3 3 2 2 3" xfId="603" builtinId="53" customBuiltin="true"/>
    <cellStyle name="Percent 3 3 2 2 4" xfId="604" builtinId="53" customBuiltin="true"/>
    <cellStyle name="Percent 3 3 2 2 5" xfId="605" builtinId="53" customBuiltin="true"/>
    <cellStyle name="Percent 3 3 2 2 6" xfId="606" builtinId="53" customBuiltin="true"/>
    <cellStyle name="Percent 3 3 2 3" xfId="607" builtinId="53" customBuiltin="true"/>
    <cellStyle name="Percent 3 3 2 3 2" xfId="608" builtinId="53" customBuiltin="true"/>
    <cellStyle name="Percent 3 3 2 3 3" xfId="609" builtinId="53" customBuiltin="true"/>
    <cellStyle name="Percent 3 3 2 3 4" xfId="610" builtinId="53" customBuiltin="true"/>
    <cellStyle name="Percent 3 3 2 4" xfId="611" builtinId="53" customBuiltin="true"/>
    <cellStyle name="Percent 3 3 2 5" xfId="612" builtinId="53" customBuiltin="true"/>
    <cellStyle name="Percent 3 3 2 6" xfId="613" builtinId="53" customBuiltin="true"/>
    <cellStyle name="Percent 3 3 2 7" xfId="614" builtinId="53" customBuiltin="true"/>
    <cellStyle name="Percent 3 3 2 8" xfId="615" builtinId="53" customBuiltin="true"/>
    <cellStyle name="Percent 3 3 3" xfId="616" builtinId="53" customBuiltin="true"/>
    <cellStyle name="Percent 3 3 3 2" xfId="617" builtinId="53" customBuiltin="true"/>
    <cellStyle name="Percent 3 3 3 2 2" xfId="618" builtinId="53" customBuiltin="true"/>
    <cellStyle name="Percent 3 3 3 2 3" xfId="619" builtinId="53" customBuiltin="true"/>
    <cellStyle name="Percent 3 3 3 2 4" xfId="620" builtinId="53" customBuiltin="true"/>
    <cellStyle name="Percent 3 3 3 3" xfId="621" builtinId="53" customBuiltin="true"/>
    <cellStyle name="Percent 3 3 3 4" xfId="622" builtinId="53" customBuiltin="true"/>
    <cellStyle name="Percent 3 3 3 5" xfId="623" builtinId="53" customBuiltin="true"/>
    <cellStyle name="Percent 3 3 3 6" xfId="624" builtinId="53" customBuiltin="true"/>
    <cellStyle name="Percent 3 3 4" xfId="625" builtinId="53" customBuiltin="true"/>
    <cellStyle name="Percent 3 3 4 2" xfId="626" builtinId="53" customBuiltin="true"/>
    <cellStyle name="Percent 3 3 4 3" xfId="627" builtinId="53" customBuiltin="true"/>
    <cellStyle name="Percent 3 3 4 4" xfId="628" builtinId="53" customBuiltin="true"/>
    <cellStyle name="Percent 3 3 5" xfId="629" builtinId="53" customBuiltin="true"/>
    <cellStyle name="Percent 3 3 6" xfId="630" builtinId="53" customBuiltin="true"/>
    <cellStyle name="Percent 3 3 7" xfId="631" builtinId="53" customBuiltin="true"/>
    <cellStyle name="Percent 3 3 8" xfId="632" builtinId="53" customBuiltin="true"/>
    <cellStyle name="Percent 3 3 9" xfId="633" builtinId="53" customBuiltin="true"/>
    <cellStyle name="Percent 3 4" xfId="634" builtinId="53" customBuiltin="true"/>
    <cellStyle name="Percent 3 5" xfId="635" builtinId="53" customBuiltin="true"/>
    <cellStyle name="Percent 3 6" xfId="636" builtinId="53" customBuiltin="true"/>
    <cellStyle name="Percent 4" xfId="637" builtinId="53" customBuiltin="true"/>
    <cellStyle name="Percent 5" xfId="638" builtinId="53" customBuiltin="true"/>
    <cellStyle name="Percent 5 10" xfId="639" builtinId="53" customBuiltin="true"/>
    <cellStyle name="Percent 5 2" xfId="640" builtinId="53" customBuiltin="true"/>
    <cellStyle name="Percent 5 2 2" xfId="641" builtinId="53" customBuiltin="true"/>
    <cellStyle name="Percent 5 2 2 2" xfId="642" builtinId="53" customBuiltin="true"/>
    <cellStyle name="Percent 5 2 2 2 2" xfId="643" builtinId="53" customBuiltin="true"/>
    <cellStyle name="Percent 5 2 2 2 3" xfId="644" builtinId="53" customBuiltin="true"/>
    <cellStyle name="Percent 5 2 2 2 4" xfId="645" builtinId="53" customBuiltin="true"/>
    <cellStyle name="Percent 5 2 2 3" xfId="646" builtinId="53" customBuiltin="true"/>
    <cellStyle name="Percent 5 2 2 4" xfId="647" builtinId="53" customBuiltin="true"/>
    <cellStyle name="Percent 5 2 2 5" xfId="648" builtinId="53" customBuiltin="true"/>
    <cellStyle name="Percent 5 2 2 6" xfId="649" builtinId="53" customBuiltin="true"/>
    <cellStyle name="Percent 5 2 2 7" xfId="650" builtinId="53" customBuiltin="true"/>
    <cellStyle name="Percent 5 2 3" xfId="651" builtinId="53" customBuiltin="true"/>
    <cellStyle name="Percent 5 2 3 2" xfId="652" builtinId="53" customBuiltin="true"/>
    <cellStyle name="Percent 5 2 3 3" xfId="653" builtinId="53" customBuiltin="true"/>
    <cellStyle name="Percent 5 2 3 4" xfId="654" builtinId="53" customBuiltin="true"/>
    <cellStyle name="Percent 5 2 4" xfId="655" builtinId="53" customBuiltin="true"/>
    <cellStyle name="Percent 5 2 5" xfId="656" builtinId="53" customBuiltin="true"/>
    <cellStyle name="Percent 5 2 6" xfId="657" builtinId="53" customBuiltin="true"/>
    <cellStyle name="Percent 5 2 7" xfId="658" builtinId="53" customBuiltin="true"/>
    <cellStyle name="Percent 5 2 8" xfId="659" builtinId="53" customBuiltin="true"/>
    <cellStyle name="Percent 5 3" xfId="660" builtinId="53" customBuiltin="true"/>
    <cellStyle name="Percent 5 3 2" xfId="661" builtinId="53" customBuiltin="true"/>
    <cellStyle name="Percent 5 3 2 2" xfId="662" builtinId="53" customBuiltin="true"/>
    <cellStyle name="Percent 5 3 2 2 2" xfId="663" builtinId="53" customBuiltin="true"/>
    <cellStyle name="Percent 5 3 2 2 3" xfId="664" builtinId="53" customBuiltin="true"/>
    <cellStyle name="Percent 5 3 2 2 4" xfId="665" builtinId="53" customBuiltin="true"/>
    <cellStyle name="Percent 5 3 2 3" xfId="666" builtinId="53" customBuiltin="true"/>
    <cellStyle name="Percent 5 3 2 4" xfId="667" builtinId="53" customBuiltin="true"/>
    <cellStyle name="Percent 5 3 2 5" xfId="668" builtinId="53" customBuiltin="true"/>
    <cellStyle name="Percent 5 3 2 6" xfId="669" builtinId="53" customBuiltin="true"/>
    <cellStyle name="Percent 5 3 3" xfId="670" builtinId="53" customBuiltin="true"/>
    <cellStyle name="Percent 5 3 3 2" xfId="671" builtinId="53" customBuiltin="true"/>
    <cellStyle name="Percent 5 3 3 3" xfId="672" builtinId="53" customBuiltin="true"/>
    <cellStyle name="Percent 5 3 3 4" xfId="673" builtinId="53" customBuiltin="true"/>
    <cellStyle name="Percent 5 3 4" xfId="674" builtinId="53" customBuiltin="true"/>
    <cellStyle name="Percent 5 3 5" xfId="675" builtinId="53" customBuiltin="true"/>
    <cellStyle name="Percent 5 3 6" xfId="676" builtinId="53" customBuiltin="true"/>
    <cellStyle name="Percent 5 3 7" xfId="677" builtinId="53" customBuiltin="true"/>
    <cellStyle name="Percent 5 3 8" xfId="678" builtinId="53" customBuiltin="true"/>
    <cellStyle name="Percent 5 4" xfId="679" builtinId="53" customBuiltin="true"/>
    <cellStyle name="Percent 5 4 2" xfId="680" builtinId="53" customBuiltin="true"/>
    <cellStyle name="Percent 5 4 2 2" xfId="681" builtinId="53" customBuiltin="true"/>
    <cellStyle name="Percent 5 4 2 3" xfId="682" builtinId="53" customBuiltin="true"/>
    <cellStyle name="Percent 5 4 2 4" xfId="683" builtinId="53" customBuiltin="true"/>
    <cellStyle name="Percent 5 4 3" xfId="684" builtinId="53" customBuiltin="true"/>
    <cellStyle name="Percent 5 4 4" xfId="685" builtinId="53" customBuiltin="true"/>
    <cellStyle name="Percent 5 4 5" xfId="686" builtinId="53" customBuiltin="true"/>
    <cellStyle name="Percent 5 4 6" xfId="687" builtinId="53" customBuiltin="true"/>
    <cellStyle name="Percent 5 5" xfId="688" builtinId="53" customBuiltin="true"/>
    <cellStyle name="Percent 5 5 2" xfId="689" builtinId="53" customBuiltin="true"/>
    <cellStyle name="Percent 5 5 3" xfId="690" builtinId="53" customBuiltin="true"/>
    <cellStyle name="Percent 5 5 4" xfId="691" builtinId="53" customBuiltin="true"/>
    <cellStyle name="Percent 5 6" xfId="692" builtinId="53" customBuiltin="true"/>
    <cellStyle name="Percent 5 7" xfId="693" builtinId="53" customBuiltin="true"/>
    <cellStyle name="Percent 5 8" xfId="694" builtinId="53" customBuiltin="true"/>
    <cellStyle name="Percent 5 9" xfId="695" builtinId="53" customBuiltin="true"/>
    <cellStyle name="Percent 6" xfId="696" builtinId="53" customBuiltin="true"/>
    <cellStyle name="Percent 6 2" xfId="697" builtinId="53" customBuiltin="true"/>
    <cellStyle name="Percent 6 2 2" xfId="698" builtinId="53" customBuiltin="true"/>
    <cellStyle name="Percent 6 2 2 2" xfId="699" builtinId="53" customBuiltin="true"/>
    <cellStyle name="Percent 6 2 2 3" xfId="700" builtinId="53" customBuiltin="true"/>
    <cellStyle name="Percent 6 2 2 4" xfId="701" builtinId="53" customBuiltin="true"/>
    <cellStyle name="Percent 6 2 3" xfId="702" builtinId="53" customBuiltin="true"/>
    <cellStyle name="Percent 6 2 4" xfId="703" builtinId="53" customBuiltin="true"/>
    <cellStyle name="Percent 6 2 5" xfId="704" builtinId="53" customBuiltin="true"/>
    <cellStyle name="Percent 6 2 6" xfId="705" builtinId="53" customBuiltin="true"/>
    <cellStyle name="Percent 6 2 7" xfId="706" builtinId="53" customBuiltin="true"/>
    <cellStyle name="Percent 6 3" xfId="707" builtinId="53" customBuiltin="true"/>
    <cellStyle name="Percent 6 3 2" xfId="708" builtinId="53" customBuiltin="true"/>
    <cellStyle name="Percent 6 3 3" xfId="709" builtinId="53" customBuiltin="true"/>
    <cellStyle name="Percent 6 3 4" xfId="710" builtinId="53" customBuiltin="true"/>
    <cellStyle name="Percent 6 4" xfId="711" builtinId="53" customBuiltin="true"/>
    <cellStyle name="Percent 6 5" xfId="712" builtinId="53" customBuiltin="true"/>
    <cellStyle name="Percent 6 6" xfId="713" builtinId="53" customBuiltin="true"/>
    <cellStyle name="Percent 6 7" xfId="714" builtinId="53" customBuiltin="true"/>
    <cellStyle name="Percent 6 8" xfId="715" builtinId="53" customBuiltin="true"/>
    <cellStyle name="Percent 7" xfId="716" builtinId="53" customBuiltin="true"/>
    <cellStyle name="Percent 7 2" xfId="717" builtinId="53" customBuiltin="true"/>
    <cellStyle name="Percent 7 2 2" xfId="718" builtinId="53" customBuiltin="true"/>
    <cellStyle name="Percent 7 2 3" xfId="719" builtinId="53" customBuiltin="true"/>
    <cellStyle name="Percent 7 2 4" xfId="720" builtinId="53" customBuiltin="true"/>
    <cellStyle name="Percent 7 3" xfId="721" builtinId="53" customBuiltin="true"/>
    <cellStyle name="Percent 7 4" xfId="722" builtinId="53" customBuiltin="true"/>
    <cellStyle name="Percent 7 5" xfId="723" builtinId="53" customBuiltin="true"/>
    <cellStyle name="Percent 7 6" xfId="724" builtinId="53" customBuiltin="true"/>
    <cellStyle name="Percent 7 7" xfId="725" builtinId="53" customBuiltin="true"/>
    <cellStyle name="Percent 8" xfId="726" builtinId="53" customBuiltin="true"/>
    <cellStyle name="Percent 9" xfId="727" builtinId="53" customBuiltin="true"/>
    <cellStyle name="PH Name" xfId="728" builtinId="53" customBuiltin="true"/>
    <cellStyle name="PH Number" xfId="729" builtinId="53" customBuiltin="true"/>
    <cellStyle name="PSChar" xfId="730" builtinId="53" customBuiltin="true"/>
    <cellStyle name="Pull Quotes" xfId="731" builtinId="53" customBuiltin="true"/>
    <cellStyle name="Style 1" xfId="732" builtinId="53" customBuiltin="true"/>
    <cellStyle name="Style_18" xfId="733" builtinId="53" customBuiltin="true"/>
    <cellStyle name="t1" xfId="734" builtinId="53" customBuiltin="true"/>
    <cellStyle name="Titles" xfId="735" builtinId="53" customBuiltin="true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FBFBF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8B8B8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F54"/>
  <sheetViews>
    <sheetView showFormulas="false" showGridLines="true" showRowColHeaders="true" showZeros="true" rightToLeft="false" tabSelected="true" showOutlineSymbols="true" defaultGridColor="true" view="normal" topLeftCell="A32" colorId="64" zoomScale="100" zoomScaleNormal="100" zoomScalePageLayoutView="100" workbookViewId="0">
      <selection pane="topLeft" activeCell="F55" activeCellId="0" sqref="F55"/>
    </sheetView>
  </sheetViews>
  <sheetFormatPr defaultRowHeight="15" zeroHeight="false" outlineLevelRow="0" outlineLevelCol="0"/>
  <cols>
    <col collapsed="false" customWidth="true" hidden="false" outlineLevel="0" max="1" min="1" style="0" width="49.14"/>
    <col collapsed="false" customWidth="true" hidden="false" outlineLevel="0" max="2" min="2" style="1" width="10.71"/>
    <col collapsed="false" customWidth="true" hidden="false" outlineLevel="0" max="3" min="3" style="0" width="15.43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1.85"/>
    <col collapsed="false" customWidth="true" hidden="false" outlineLevel="0" max="1025" min="7" style="0" width="8.53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</row>
    <row r="4" customFormat="false" ht="15" hidden="false" customHeight="false" outlineLevel="0" collapsed="false">
      <c r="A4" s="6" t="s">
        <v>7</v>
      </c>
      <c r="B4" s="7" t="s">
        <v>8</v>
      </c>
      <c r="C4" s="8" t="n">
        <v>10.41</v>
      </c>
      <c r="D4" s="9" t="n">
        <v>152</v>
      </c>
      <c r="E4" s="10"/>
      <c r="F4" s="11" t="n">
        <f aca="false">C4*D4</f>
        <v>1582.32</v>
      </c>
    </row>
    <row r="5" customFormat="false" ht="15" hidden="false" customHeight="false" outlineLevel="0" collapsed="false">
      <c r="A5" s="6" t="s">
        <v>9</v>
      </c>
      <c r="B5" s="7" t="s">
        <v>8</v>
      </c>
      <c r="C5" s="8" t="n">
        <v>17.35</v>
      </c>
      <c r="D5" s="9" t="n">
        <v>78</v>
      </c>
      <c r="E5" s="10"/>
      <c r="F5" s="11" t="n">
        <f aca="false">C5*D5</f>
        <v>1353.3</v>
      </c>
    </row>
    <row r="6" customFormat="false" ht="15" hidden="false" customHeight="false" outlineLevel="0" collapsed="false">
      <c r="A6" s="6" t="s">
        <v>10</v>
      </c>
      <c r="B6" s="7" t="s">
        <v>8</v>
      </c>
      <c r="C6" s="8" t="n">
        <v>20.47</v>
      </c>
      <c r="D6" s="9" t="n">
        <v>67</v>
      </c>
      <c r="E6" s="10"/>
      <c r="F6" s="11" t="n">
        <f aca="false">C6*D6</f>
        <v>1371.49</v>
      </c>
    </row>
    <row r="7" customFormat="false" ht="15" hidden="false" customHeight="false" outlineLevel="0" collapsed="false">
      <c r="A7" s="6" t="s">
        <v>11</v>
      </c>
      <c r="B7" s="7" t="s">
        <v>8</v>
      </c>
      <c r="C7" s="8" t="n">
        <v>27.41</v>
      </c>
      <c r="D7" s="9" t="n">
        <v>102</v>
      </c>
      <c r="E7" s="10"/>
      <c r="F7" s="11" t="n">
        <f aca="false">C7*D7</f>
        <v>2795.82</v>
      </c>
    </row>
    <row r="8" customFormat="false" ht="15" hidden="false" customHeight="false" outlineLevel="0" collapsed="false">
      <c r="A8" s="12" t="s">
        <v>12</v>
      </c>
      <c r="B8" s="13"/>
      <c r="C8" s="10"/>
      <c r="D8" s="10" t="n">
        <f aca="false">SUM(D4:D7)</f>
        <v>399</v>
      </c>
      <c r="E8" s="10"/>
      <c r="F8" s="14" t="n">
        <f aca="false">SUM(F4:F7)</f>
        <v>7102.93</v>
      </c>
    </row>
    <row r="9" customFormat="false" ht="15" hidden="false" customHeight="false" outlineLevel="0" collapsed="false">
      <c r="A9" s="15" t="s">
        <v>13</v>
      </c>
      <c r="B9" s="16" t="s">
        <v>14</v>
      </c>
      <c r="C9" s="17" t="n">
        <v>0.43</v>
      </c>
      <c r="D9" s="18" t="n">
        <v>10</v>
      </c>
      <c r="E9" s="19" t="n">
        <v>130000</v>
      </c>
      <c r="F9" s="20" t="n">
        <f aca="false">($E9/1000)*$C9</f>
        <v>55.9</v>
      </c>
    </row>
    <row r="10" customFormat="false" ht="15" hidden="false" customHeight="false" outlineLevel="0" collapsed="false">
      <c r="A10" s="15" t="s">
        <v>13</v>
      </c>
      <c r="B10" s="16" t="s">
        <v>15</v>
      </c>
      <c r="C10" s="17" t="n">
        <v>0.53</v>
      </c>
      <c r="D10" s="18" t="n">
        <v>46</v>
      </c>
      <c r="E10" s="19" t="n">
        <v>590000</v>
      </c>
      <c r="F10" s="20" t="n">
        <f aca="false">($E10/1000)*$C10</f>
        <v>312.7</v>
      </c>
    </row>
    <row r="11" customFormat="false" ht="15" hidden="false" customHeight="false" outlineLevel="0" collapsed="false">
      <c r="A11" s="15" t="s">
        <v>13</v>
      </c>
      <c r="B11" s="16" t="s">
        <v>16</v>
      </c>
      <c r="C11" s="17" t="n">
        <v>1.24</v>
      </c>
      <c r="D11" s="18" t="n">
        <v>54</v>
      </c>
      <c r="E11" s="19" t="n">
        <v>710000</v>
      </c>
      <c r="F11" s="20" t="n">
        <f aca="false">($E11/1000)*$C11</f>
        <v>880.4</v>
      </c>
    </row>
    <row r="12" customFormat="false" ht="15" hidden="false" customHeight="false" outlineLevel="0" collapsed="false">
      <c r="A12" s="15" t="s">
        <v>13</v>
      </c>
      <c r="B12" s="16" t="s">
        <v>17</v>
      </c>
      <c r="C12" s="17" t="n">
        <v>2.69</v>
      </c>
      <c r="D12" s="18" t="n">
        <v>24</v>
      </c>
      <c r="E12" s="19" t="n">
        <v>330000</v>
      </c>
      <c r="F12" s="20" t="n">
        <f aca="false">($E12/1000)*$C12</f>
        <v>887.7</v>
      </c>
    </row>
    <row r="13" customFormat="false" ht="15" hidden="false" customHeight="false" outlineLevel="0" collapsed="false">
      <c r="A13" s="15" t="s">
        <v>13</v>
      </c>
      <c r="B13" s="16" t="s">
        <v>18</v>
      </c>
      <c r="C13" s="17" t="n">
        <v>4.18</v>
      </c>
      <c r="D13" s="18" t="n">
        <v>12</v>
      </c>
      <c r="E13" s="19" t="n">
        <v>170000</v>
      </c>
      <c r="F13" s="20" t="n">
        <f aca="false">($E13/1000)*$C13</f>
        <v>710.6</v>
      </c>
    </row>
    <row r="14" customFormat="false" ht="15" hidden="false" customHeight="false" outlineLevel="0" collapsed="false">
      <c r="A14" s="15" t="s">
        <v>13</v>
      </c>
      <c r="B14" s="16" t="s">
        <v>19</v>
      </c>
      <c r="C14" s="17" t="n">
        <v>5.45</v>
      </c>
      <c r="D14" s="18" t="n">
        <v>6</v>
      </c>
      <c r="E14" s="19" t="n">
        <v>70000</v>
      </c>
      <c r="F14" s="20" t="n">
        <f aca="false">($E14/1000)*$C14</f>
        <v>381.5</v>
      </c>
    </row>
    <row r="15" customFormat="false" ht="15" hidden="false" customHeight="false" outlineLevel="0" collapsed="false">
      <c r="A15" s="15" t="s">
        <v>13</v>
      </c>
      <c r="B15" s="16" t="s">
        <v>20</v>
      </c>
      <c r="C15" s="17" t="n">
        <v>8.52</v>
      </c>
      <c r="D15" s="18" t="n">
        <v>2</v>
      </c>
      <c r="E15" s="19" t="n">
        <v>20000</v>
      </c>
      <c r="F15" s="20" t="n">
        <f aca="false">($E15/1000)*$C15</f>
        <v>170.4</v>
      </c>
    </row>
    <row r="16" customFormat="false" ht="15" hidden="false" customHeight="false" outlineLevel="0" collapsed="false">
      <c r="A16" s="21" t="s">
        <v>12</v>
      </c>
      <c r="B16" s="22"/>
      <c r="C16" s="23"/>
      <c r="D16" s="23" t="n">
        <f aca="false">SUM(D9:D15)</f>
        <v>154</v>
      </c>
      <c r="E16" s="24" t="n">
        <f aca="false">SUM(E9:E15)</f>
        <v>2020000</v>
      </c>
      <c r="F16" s="25" t="n">
        <f aca="false">SUM(F9:F15)</f>
        <v>3399.2</v>
      </c>
    </row>
    <row r="17" customFormat="false" ht="15" hidden="false" customHeight="false" outlineLevel="0" collapsed="false">
      <c r="A17" s="15" t="s">
        <v>21</v>
      </c>
      <c r="B17" s="16" t="s">
        <v>14</v>
      </c>
      <c r="C17" s="17" t="n">
        <v>0.72</v>
      </c>
      <c r="D17" s="18" t="n">
        <v>5</v>
      </c>
      <c r="E17" s="19" t="n">
        <v>70000</v>
      </c>
      <c r="F17" s="20" t="n">
        <f aca="false">($E17/1000)*$C17</f>
        <v>50.4</v>
      </c>
    </row>
    <row r="18" customFormat="false" ht="15" hidden="false" customHeight="false" outlineLevel="0" collapsed="false">
      <c r="A18" s="15" t="s">
        <v>21</v>
      </c>
      <c r="B18" s="16" t="s">
        <v>15</v>
      </c>
      <c r="C18" s="17" t="n">
        <v>0.94</v>
      </c>
      <c r="D18" s="18" t="n">
        <v>21</v>
      </c>
      <c r="E18" s="19" t="n">
        <v>270000</v>
      </c>
      <c r="F18" s="20" t="n">
        <f aca="false">($E18/1000)*$C18</f>
        <v>253.8</v>
      </c>
    </row>
    <row r="19" customFormat="false" ht="15" hidden="false" customHeight="false" outlineLevel="0" collapsed="false">
      <c r="A19" s="15" t="s">
        <v>21</v>
      </c>
      <c r="B19" s="16" t="s">
        <v>16</v>
      </c>
      <c r="C19" s="17" t="n">
        <v>1.63</v>
      </c>
      <c r="D19" s="18" t="n">
        <v>26</v>
      </c>
      <c r="E19" s="19" t="n">
        <v>410000</v>
      </c>
      <c r="F19" s="20" t="n">
        <f aca="false">($E19/1000)*$C19</f>
        <v>668.3</v>
      </c>
    </row>
    <row r="20" customFormat="false" ht="15" hidden="false" customHeight="false" outlineLevel="0" collapsed="false">
      <c r="A20" s="15" t="s">
        <v>21</v>
      </c>
      <c r="B20" s="16" t="s">
        <v>17</v>
      </c>
      <c r="C20" s="17" t="n">
        <v>3.45</v>
      </c>
      <c r="D20" s="18" t="n">
        <v>10</v>
      </c>
      <c r="E20" s="19" t="n">
        <v>120000</v>
      </c>
      <c r="F20" s="20" t="n">
        <f aca="false">($E20/1000)*$C20</f>
        <v>414</v>
      </c>
    </row>
    <row r="21" customFormat="false" ht="15" hidden="false" customHeight="false" outlineLevel="0" collapsed="false">
      <c r="A21" s="15" t="s">
        <v>21</v>
      </c>
      <c r="B21" s="16" t="s">
        <v>18</v>
      </c>
      <c r="C21" s="17" t="n">
        <v>5.67</v>
      </c>
      <c r="D21" s="18" t="n">
        <v>5</v>
      </c>
      <c r="E21" s="19" t="n">
        <v>60000</v>
      </c>
      <c r="F21" s="20" t="n">
        <f aca="false">($E21/1000)*$C21</f>
        <v>340.2</v>
      </c>
    </row>
    <row r="22" customFormat="false" ht="15" hidden="false" customHeight="false" outlineLevel="0" collapsed="false">
      <c r="A22" s="15" t="s">
        <v>21</v>
      </c>
      <c r="B22" s="16" t="s">
        <v>19</v>
      </c>
      <c r="C22" s="17" t="n">
        <v>7.02</v>
      </c>
      <c r="D22" s="18" t="n">
        <v>2</v>
      </c>
      <c r="E22" s="19" t="n">
        <v>20000</v>
      </c>
      <c r="F22" s="20" t="n">
        <f aca="false">($E22/1000)*$C22</f>
        <v>140.4</v>
      </c>
    </row>
    <row r="23" customFormat="false" ht="15" hidden="false" customHeight="false" outlineLevel="0" collapsed="false">
      <c r="A23" s="15" t="s">
        <v>21</v>
      </c>
      <c r="B23" s="16" t="s">
        <v>20</v>
      </c>
      <c r="C23" s="17" t="n">
        <v>10.12</v>
      </c>
      <c r="D23" s="18" t="n">
        <v>1</v>
      </c>
      <c r="E23" s="19" t="n">
        <v>10000</v>
      </c>
      <c r="F23" s="20" t="n">
        <f aca="false">($E23/1000)*$C23</f>
        <v>101.2</v>
      </c>
    </row>
    <row r="24" customFormat="false" ht="15" hidden="false" customHeight="false" outlineLevel="0" collapsed="false">
      <c r="A24" s="21" t="s">
        <v>12</v>
      </c>
      <c r="B24" s="22"/>
      <c r="C24" s="23"/>
      <c r="D24" s="23" t="n">
        <f aca="false">SUM(D17:D23)</f>
        <v>70</v>
      </c>
      <c r="E24" s="24" t="n">
        <f aca="false">SUM(E17:E23)</f>
        <v>960000</v>
      </c>
      <c r="F24" s="25" t="n">
        <f aca="false">SUM(F17:F23)</f>
        <v>1968.3</v>
      </c>
    </row>
    <row r="25" customFormat="false" ht="15" hidden="false" customHeight="false" outlineLevel="0" collapsed="false">
      <c r="A25" s="15" t="s">
        <v>22</v>
      </c>
      <c r="B25" s="16" t="s">
        <v>14</v>
      </c>
      <c r="C25" s="17" t="n">
        <v>0.62</v>
      </c>
      <c r="D25" s="18" t="n">
        <v>5</v>
      </c>
      <c r="E25" s="19" t="n">
        <v>60000</v>
      </c>
      <c r="F25" s="20" t="n">
        <f aca="false">($E25/1000)*$C25</f>
        <v>37.2</v>
      </c>
    </row>
    <row r="26" customFormat="false" ht="15" hidden="false" customHeight="false" outlineLevel="0" collapsed="false">
      <c r="A26" s="15" t="s">
        <v>22</v>
      </c>
      <c r="B26" s="16" t="s">
        <v>15</v>
      </c>
      <c r="C26" s="17" t="n">
        <v>0.7</v>
      </c>
      <c r="D26" s="18" t="n">
        <v>22</v>
      </c>
      <c r="E26" s="19" t="n">
        <v>290000</v>
      </c>
      <c r="F26" s="20" t="n">
        <f aca="false">($E26/1000)*$C26</f>
        <v>203</v>
      </c>
    </row>
    <row r="27" customFormat="false" ht="15" hidden="false" customHeight="false" outlineLevel="0" collapsed="false">
      <c r="A27" s="15" t="s">
        <v>22</v>
      </c>
      <c r="B27" s="16" t="s">
        <v>16</v>
      </c>
      <c r="C27" s="17" t="n">
        <v>1.46</v>
      </c>
      <c r="D27" s="18" t="n">
        <v>18</v>
      </c>
      <c r="E27" s="19" t="n">
        <v>260000</v>
      </c>
      <c r="F27" s="20" t="n">
        <f aca="false">($E27/1000)*$C27</f>
        <v>379.6</v>
      </c>
    </row>
    <row r="28" customFormat="false" ht="15" hidden="false" customHeight="false" outlineLevel="0" collapsed="false">
      <c r="A28" s="15" t="s">
        <v>22</v>
      </c>
      <c r="B28" s="16" t="s">
        <v>17</v>
      </c>
      <c r="C28" s="17" t="n">
        <v>3.18</v>
      </c>
      <c r="D28" s="18" t="n">
        <v>7</v>
      </c>
      <c r="E28" s="19" t="n">
        <v>100000</v>
      </c>
      <c r="F28" s="20" t="n">
        <f aca="false">($E28/1000)*$C28</f>
        <v>318</v>
      </c>
    </row>
    <row r="29" customFormat="false" ht="15" hidden="false" customHeight="false" outlineLevel="0" collapsed="false">
      <c r="A29" s="15" t="s">
        <v>22</v>
      </c>
      <c r="B29" s="16" t="s">
        <v>18</v>
      </c>
      <c r="C29" s="17" t="n">
        <v>5.29</v>
      </c>
      <c r="D29" s="18" t="n">
        <v>3</v>
      </c>
      <c r="E29" s="19" t="n">
        <v>50000</v>
      </c>
      <c r="F29" s="20" t="n">
        <f aca="false">($E29/1000)*$C29</f>
        <v>264.5</v>
      </c>
    </row>
    <row r="30" customFormat="false" ht="15" hidden="false" customHeight="false" outlineLevel="0" collapsed="false">
      <c r="A30" s="15" t="s">
        <v>22</v>
      </c>
      <c r="B30" s="16" t="s">
        <v>19</v>
      </c>
      <c r="C30" s="17" t="n">
        <v>6.04</v>
      </c>
      <c r="D30" s="18" t="n">
        <v>1</v>
      </c>
      <c r="E30" s="19" t="n">
        <v>20000</v>
      </c>
      <c r="F30" s="20" t="n">
        <f aca="false">($E30/1000)*$C30</f>
        <v>120.8</v>
      </c>
    </row>
    <row r="31" customFormat="false" ht="15" hidden="false" customHeight="false" outlineLevel="0" collapsed="false">
      <c r="A31" s="15" t="s">
        <v>22</v>
      </c>
      <c r="B31" s="16" t="s">
        <v>20</v>
      </c>
      <c r="C31" s="26" t="n">
        <v>9.44</v>
      </c>
      <c r="D31" s="9" t="n">
        <v>1</v>
      </c>
      <c r="E31" s="27" t="n">
        <v>10000</v>
      </c>
      <c r="F31" s="20" t="n">
        <f aca="false">($E31/1000)*$C31</f>
        <v>94.4</v>
      </c>
    </row>
    <row r="32" customFormat="false" ht="15" hidden="false" customHeight="false" outlineLevel="0" collapsed="false">
      <c r="A32" s="21" t="s">
        <v>12</v>
      </c>
      <c r="B32" s="22"/>
      <c r="C32" s="23"/>
      <c r="D32" s="23" t="n">
        <f aca="false">SUM(D25:D31)</f>
        <v>57</v>
      </c>
      <c r="E32" s="24" t="n">
        <f aca="false">SUM(E25:E31)</f>
        <v>790000</v>
      </c>
      <c r="F32" s="25" t="n">
        <f aca="false">SUM(F25:F31)</f>
        <v>1417.5</v>
      </c>
    </row>
    <row r="33" customFormat="false" ht="15" hidden="false" customHeight="false" outlineLevel="0" collapsed="false">
      <c r="A33" s="15" t="s">
        <v>23</v>
      </c>
      <c r="B33" s="16" t="s">
        <v>14</v>
      </c>
      <c r="C33" s="17" t="n">
        <v>0.92</v>
      </c>
      <c r="D33" s="18" t="n">
        <v>3</v>
      </c>
      <c r="E33" s="19" t="n">
        <v>50000</v>
      </c>
      <c r="F33" s="20" t="n">
        <f aca="false">($E33/1000)*$C33</f>
        <v>46</v>
      </c>
    </row>
    <row r="34" customFormat="false" ht="15" hidden="false" customHeight="false" outlineLevel="0" collapsed="false">
      <c r="A34" s="15" t="s">
        <v>23</v>
      </c>
      <c r="B34" s="16" t="s">
        <v>15</v>
      </c>
      <c r="C34" s="17" t="n">
        <v>1.13</v>
      </c>
      <c r="D34" s="18" t="n">
        <v>14</v>
      </c>
      <c r="E34" s="19" t="n">
        <v>20000</v>
      </c>
      <c r="F34" s="20" t="n">
        <f aca="false">($E34/1000)*$C34</f>
        <v>22.6</v>
      </c>
    </row>
    <row r="35" customFormat="false" ht="15" hidden="false" customHeight="false" outlineLevel="0" collapsed="false">
      <c r="A35" s="15" t="s">
        <v>23</v>
      </c>
      <c r="B35" s="16" t="s">
        <v>16</v>
      </c>
      <c r="C35" s="17" t="n">
        <v>2.07</v>
      </c>
      <c r="D35" s="18" t="n">
        <v>10</v>
      </c>
      <c r="E35" s="19" t="n">
        <v>5000</v>
      </c>
      <c r="F35" s="20" t="n">
        <f aca="false">($E35/1000)*$C35</f>
        <v>10.35</v>
      </c>
    </row>
    <row r="36" customFormat="false" ht="15" hidden="false" customHeight="false" outlineLevel="0" collapsed="false">
      <c r="A36" s="15" t="s">
        <v>23</v>
      </c>
      <c r="B36" s="16" t="s">
        <v>17</v>
      </c>
      <c r="C36" s="17" t="n">
        <v>4.52</v>
      </c>
      <c r="D36" s="18" t="n">
        <v>6</v>
      </c>
      <c r="E36" s="19" t="n">
        <v>15000</v>
      </c>
      <c r="F36" s="20" t="n">
        <f aca="false">($E36/1000)*$C36</f>
        <v>67.8</v>
      </c>
    </row>
    <row r="37" customFormat="false" ht="15" hidden="false" customHeight="false" outlineLevel="0" collapsed="false">
      <c r="A37" s="15" t="s">
        <v>23</v>
      </c>
      <c r="B37" s="16" t="s">
        <v>18</v>
      </c>
      <c r="C37" s="17" t="n">
        <v>6.89</v>
      </c>
      <c r="D37" s="18" t="n">
        <v>0</v>
      </c>
      <c r="E37" s="19" t="n">
        <v>0</v>
      </c>
      <c r="F37" s="20" t="n">
        <f aca="false">($E37/1000)*$C37</f>
        <v>0</v>
      </c>
    </row>
    <row r="38" customFormat="false" ht="15" hidden="false" customHeight="false" outlineLevel="0" collapsed="false">
      <c r="A38" s="15" t="s">
        <v>23</v>
      </c>
      <c r="B38" s="16" t="s">
        <v>19</v>
      </c>
      <c r="C38" s="17" t="n">
        <v>8.32</v>
      </c>
      <c r="D38" s="18" t="n">
        <v>0</v>
      </c>
      <c r="E38" s="19" t="n">
        <v>0</v>
      </c>
      <c r="F38" s="20" t="n">
        <f aca="false">($E38/1000)*$C38</f>
        <v>0</v>
      </c>
    </row>
    <row r="39" customFormat="false" ht="15" hidden="false" customHeight="false" outlineLevel="0" collapsed="false">
      <c r="A39" s="15" t="s">
        <v>23</v>
      </c>
      <c r="B39" s="16" t="s">
        <v>20</v>
      </c>
      <c r="C39" s="26" t="n">
        <v>11.67</v>
      </c>
      <c r="D39" s="9" t="n">
        <v>0</v>
      </c>
      <c r="E39" s="27" t="n">
        <v>0</v>
      </c>
      <c r="F39" s="20" t="n">
        <f aca="false">($E39/1000)*$C39</f>
        <v>0</v>
      </c>
    </row>
    <row r="40" customFormat="false" ht="15" hidden="false" customHeight="false" outlineLevel="0" collapsed="false">
      <c r="A40" s="21" t="s">
        <v>12</v>
      </c>
      <c r="B40" s="22"/>
      <c r="C40" s="23"/>
      <c r="D40" s="23" t="n">
        <f aca="false">SUM(D33:D39)</f>
        <v>33</v>
      </c>
      <c r="E40" s="24" t="n">
        <f aca="false">SUM(E33:E39)</f>
        <v>90000</v>
      </c>
      <c r="F40" s="25" t="n">
        <f aca="false">SUM(F33:F39)</f>
        <v>146.75</v>
      </c>
    </row>
    <row r="41" s="32" customFormat="true" ht="15.75" hidden="false" customHeight="false" outlineLevel="0" collapsed="false">
      <c r="A41" s="6" t="s">
        <v>24</v>
      </c>
      <c r="B41" s="28" t="s">
        <v>25</v>
      </c>
      <c r="C41" s="29" t="n">
        <v>0.17</v>
      </c>
      <c r="D41" s="30" t="n">
        <v>5</v>
      </c>
      <c r="E41" s="31" t="n">
        <f aca="false">D41*1000</f>
        <v>5000</v>
      </c>
      <c r="F41" s="20" t="n">
        <f aca="false">C41*D41</f>
        <v>0.85</v>
      </c>
    </row>
    <row r="42" s="32" customFormat="true" ht="15.75" hidden="false" customHeight="false" outlineLevel="0" collapsed="false">
      <c r="A42" s="6" t="s">
        <v>26</v>
      </c>
      <c r="B42" s="28" t="s">
        <v>25</v>
      </c>
      <c r="C42" s="29" t="n">
        <v>0.43</v>
      </c>
      <c r="D42" s="30" t="n">
        <v>17</v>
      </c>
      <c r="E42" s="31" t="n">
        <f aca="false">D42*2500</f>
        <v>42500</v>
      </c>
      <c r="F42" s="20" t="n">
        <f aca="false">C42*D42</f>
        <v>7.31</v>
      </c>
    </row>
    <row r="43" s="32" customFormat="true" ht="15.75" hidden="false" customHeight="false" outlineLevel="0" collapsed="false">
      <c r="A43" s="6" t="s">
        <v>27</v>
      </c>
      <c r="B43" s="28" t="s">
        <v>25</v>
      </c>
      <c r="C43" s="29" t="n">
        <v>0.85</v>
      </c>
      <c r="D43" s="30" t="n">
        <v>15</v>
      </c>
      <c r="E43" s="31" t="n">
        <f aca="false">D43*5000</f>
        <v>75000</v>
      </c>
      <c r="F43" s="20" t="n">
        <f aca="false">C43*D43</f>
        <v>12.75</v>
      </c>
    </row>
    <row r="44" s="32" customFormat="true" ht="15.75" hidden="false" customHeight="false" outlineLevel="0" collapsed="false">
      <c r="A44" s="6" t="s">
        <v>28</v>
      </c>
      <c r="B44" s="28" t="s">
        <v>25</v>
      </c>
      <c r="C44" s="29" t="n">
        <v>1.7</v>
      </c>
      <c r="D44" s="30" t="n">
        <v>24</v>
      </c>
      <c r="E44" s="31" t="n">
        <f aca="false">D44*10000</f>
        <v>240000</v>
      </c>
      <c r="F44" s="20" t="n">
        <f aca="false">C44*D44</f>
        <v>40.8</v>
      </c>
    </row>
    <row r="45" customFormat="false" ht="15" hidden="false" customHeight="false" outlineLevel="0" collapsed="false">
      <c r="A45" s="12" t="s">
        <v>12</v>
      </c>
      <c r="B45" s="13"/>
      <c r="C45" s="10"/>
      <c r="D45" s="10" t="n">
        <f aca="false">SUM(D41:D44)</f>
        <v>61</v>
      </c>
      <c r="E45" s="33" t="n">
        <f aca="false">SUM(E43:E44)</f>
        <v>315000</v>
      </c>
      <c r="F45" s="34" t="n">
        <f aca="false">SUM(F43:F44)</f>
        <v>53.55</v>
      </c>
    </row>
    <row r="46" customFormat="false" ht="15" hidden="false" customHeight="false" outlineLevel="0" collapsed="false">
      <c r="A46" s="35" t="s">
        <v>29</v>
      </c>
      <c r="B46" s="28" t="s">
        <v>8</v>
      </c>
      <c r="C46" s="36" t="n">
        <v>1.3</v>
      </c>
      <c r="D46" s="37" t="n">
        <f aca="false">D16+D24</f>
        <v>224</v>
      </c>
      <c r="E46" s="33"/>
      <c r="F46" s="38" t="n">
        <f aca="false">C46*D46</f>
        <v>291.2</v>
      </c>
    </row>
    <row r="47" customFormat="false" ht="15" hidden="false" customHeight="false" outlineLevel="0" collapsed="false">
      <c r="A47" s="35" t="s">
        <v>30</v>
      </c>
      <c r="B47" s="28" t="s">
        <v>8</v>
      </c>
      <c r="C47" s="36" t="n">
        <v>1.3</v>
      </c>
      <c r="D47" s="37" t="n">
        <f aca="false">D32+D40</f>
        <v>90</v>
      </c>
      <c r="E47" s="33"/>
      <c r="F47" s="38" t="n">
        <f aca="false">C47*D47</f>
        <v>117</v>
      </c>
    </row>
    <row r="48" customFormat="false" ht="15" hidden="false" customHeight="false" outlineLevel="0" collapsed="false">
      <c r="A48" s="12" t="s">
        <v>12</v>
      </c>
      <c r="B48" s="13"/>
      <c r="C48" s="10"/>
      <c r="D48" s="10"/>
      <c r="E48" s="33"/>
      <c r="F48" s="34" t="n">
        <f aca="false">SUM(F46:F47)</f>
        <v>408.2</v>
      </c>
    </row>
    <row r="49" customFormat="false" ht="15" hidden="false" customHeight="false" outlineLevel="0" collapsed="false">
      <c r="A49" s="6" t="s">
        <v>31</v>
      </c>
      <c r="B49" s="7" t="s">
        <v>8</v>
      </c>
      <c r="C49" s="8" t="n">
        <v>13.75</v>
      </c>
      <c r="D49" s="9" t="n">
        <v>113</v>
      </c>
      <c r="E49" s="10"/>
      <c r="F49" s="11" t="n">
        <f aca="false">C49*D49</f>
        <v>1553.75</v>
      </c>
    </row>
    <row r="50" customFormat="false" ht="15" hidden="false" customHeight="false" outlineLevel="0" collapsed="false">
      <c r="A50" s="6" t="s">
        <v>32</v>
      </c>
      <c r="B50" s="7" t="s">
        <v>8</v>
      </c>
      <c r="C50" s="8" t="n">
        <v>29.37</v>
      </c>
      <c r="D50" s="9" t="n">
        <v>51</v>
      </c>
      <c r="E50" s="10"/>
      <c r="F50" s="11" t="n">
        <f aca="false">C50*D50</f>
        <v>1497.87</v>
      </c>
    </row>
    <row r="51" customFormat="false" ht="15" hidden="false" customHeight="false" outlineLevel="0" collapsed="false">
      <c r="A51" s="6" t="s">
        <v>33</v>
      </c>
      <c r="B51" s="7" t="s">
        <v>8</v>
      </c>
      <c r="C51" s="8" t="n">
        <v>22</v>
      </c>
      <c r="D51" s="9" t="n">
        <v>34</v>
      </c>
      <c r="E51" s="10"/>
      <c r="F51" s="11" t="n">
        <f aca="false">C51*D51</f>
        <v>748</v>
      </c>
    </row>
    <row r="52" customFormat="false" ht="15" hidden="false" customHeight="false" outlineLevel="0" collapsed="false">
      <c r="A52" s="6" t="s">
        <v>34</v>
      </c>
      <c r="B52" s="7" t="s">
        <v>8</v>
      </c>
      <c r="C52" s="8" t="n">
        <v>37.62</v>
      </c>
      <c r="D52" s="9" t="n">
        <v>76</v>
      </c>
      <c r="E52" s="10"/>
      <c r="F52" s="11" t="n">
        <f aca="false">C52*D52</f>
        <v>2859.12</v>
      </c>
    </row>
    <row r="53" customFormat="false" ht="15" hidden="false" customHeight="false" outlineLevel="0" collapsed="false">
      <c r="A53" s="12" t="s">
        <v>12</v>
      </c>
      <c r="B53" s="13"/>
      <c r="C53" s="10"/>
      <c r="D53" s="10" t="n">
        <f aca="false">SUM(D49:D52)</f>
        <v>274</v>
      </c>
      <c r="E53" s="33" t="n">
        <f aca="false">SUM(E51:E52)</f>
        <v>0</v>
      </c>
      <c r="F53" s="34" t="n">
        <f aca="false">SUM(F51:F52)</f>
        <v>3607.12</v>
      </c>
    </row>
    <row r="54" customFormat="false" ht="15.75" hidden="false" customHeight="false" outlineLevel="0" collapsed="false">
      <c r="A54" s="39" t="s">
        <v>35</v>
      </c>
      <c r="B54" s="39"/>
      <c r="C54" s="39"/>
      <c r="D54" s="39"/>
      <c r="E54" s="39"/>
      <c r="F54" s="40" t="n">
        <f aca="false">F8+F16+F24+F32+F40+F45+F48+F53</f>
        <v>18103.55</v>
      </c>
    </row>
  </sheetData>
  <mergeCells count="2">
    <mergeCell ref="A1:F2"/>
    <mergeCell ref="A54:E5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LibreOffice/5.3.1.2$Linux_X86_64 LibreOffice_project/30m0$Build-2</Application>
  <Company>Voya Financial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2016-11-11T15:07:01Z</dcterms:created>
  <dc:creator>Peterson, J. (Jennifer)</dc:creator>
  <dc:description/>
  <dc:language>en-US</dc:language>
  <cp:lastModifiedBy>Rodenbach, F. (Frederick)</cp:lastModifiedBy>
  <cp:lastPrinted>2017-02-03T18:42:18Z</cp:lastPrinted>
  <dcterms:modified xsi:type="dcterms:W3CDTF">2017-05-05T14:08:49Z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Voya Financial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