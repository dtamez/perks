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6405" windowWidth="19170" windowHeight="6165"/>
  </bookViews>
  <sheets>
    <sheet name="File Specs" sheetId="1" r:id="rId1"/>
  </sheets>
  <definedNames>
    <definedName name="_xlnm.Print_Area" localSheetId="0">'File Specs'!$A$1:$H$285</definedName>
    <definedName name="_xlnm.Print_Titles" localSheetId="0">'File Specs'!$4:$4</definedName>
    <definedName name="Z_28CFDFB3_ADB4_46A7_9CC7_9426DBCF700E_.wvu.PrintTitles" localSheetId="0" hidden="1">'File Specs'!$4:$4</definedName>
    <definedName name="Z_AD4FF8DE_EDA5_4061_B66F_8CBE9BBAAE25_.wvu.PrintTitles" localSheetId="0" hidden="1">'File Specs'!$4:$4</definedName>
    <definedName name="Z_F1F6759E_B09B_4BA9_A1D7_5F55C7AD0E9D_.wvu.PrintTitles" localSheetId="0" hidden="1">'File Specs'!$4:$4</definedName>
  </definedNames>
  <calcPr calcId="145621"/>
  <customWorkbookViews>
    <customWorkbookView name="Mutual of Omaha - Personal View" guid="{AD4FF8DE-EDA5-4061-B66F-8CBE9BBAAE25}" mergeInterval="0" personalView="1" maximized="1" windowWidth="1276" windowHeight="853" activeSheetId="1"/>
    <customWorkbookView name="Sue Hooper - Personal View" guid="{F1F6759E-B09B-4BA9-A1D7-5F55C7AD0E9D}" mergeInterval="0" personalView="1" maximized="1" windowWidth="1020" windowHeight="567" activeSheetId="1"/>
    <customWorkbookView name="Dave Wilson - Personal View" guid="{28CFDFB3-ADB4-46A7-9CC7-9426DBCF700E}" mergeInterval="0" personalView="1" maximized="1" windowWidth="1020" windowHeight="606" activeSheetId="1"/>
  </customWorkbookViews>
</workbook>
</file>

<file path=xl/calcChain.xml><?xml version="1.0" encoding="utf-8"?>
<calcChain xmlns="http://schemas.openxmlformats.org/spreadsheetml/2006/main">
  <c r="C251" i="1" l="1"/>
  <c r="C254" i="1" s="1"/>
  <c r="C255" i="1" s="1"/>
  <c r="C256" i="1" s="1"/>
  <c r="C257" i="1" s="1"/>
  <c r="C258" i="1" s="1"/>
  <c r="C240" i="1"/>
  <c r="C243" i="1" s="1"/>
  <c r="C244" i="1" s="1"/>
  <c r="C245" i="1" s="1"/>
  <c r="C246" i="1" s="1"/>
  <c r="C247" i="1" s="1"/>
  <c r="C44" i="1" l="1"/>
  <c r="C45" i="1" s="1"/>
  <c r="C46" i="1" s="1"/>
  <c r="C63" i="1"/>
  <c r="C64" i="1" s="1"/>
  <c r="C65" i="1" s="1"/>
  <c r="C69" i="1"/>
  <c r="C72" i="1" s="1"/>
  <c r="C73" i="1" s="1"/>
  <c r="C74" i="1" s="1"/>
  <c r="C78" i="1"/>
  <c r="C81" i="1" s="1"/>
  <c r="C82" i="1" s="1"/>
  <c r="C83" i="1" s="1"/>
  <c r="C87" i="1"/>
  <c r="C90" i="1" s="1"/>
  <c r="C91" i="1" s="1"/>
  <c r="C92" i="1" s="1"/>
  <c r="C96" i="1"/>
  <c r="C99" i="1" s="1"/>
  <c r="C100" i="1" s="1"/>
  <c r="C101" i="1" s="1"/>
  <c r="C105" i="1"/>
  <c r="C108" i="1" s="1"/>
  <c r="C109" i="1" s="1"/>
  <c r="C110" i="1" s="1"/>
  <c r="C112" i="1"/>
  <c r="C116" i="1"/>
  <c r="C119" i="1" s="1"/>
  <c r="C120" i="1" s="1"/>
  <c r="C121" i="1" s="1"/>
  <c r="C123" i="1"/>
  <c r="C127" i="1"/>
  <c r="C130" i="1" s="1"/>
  <c r="C131" i="1" s="1"/>
  <c r="C132" i="1" s="1"/>
  <c r="C134" i="1"/>
  <c r="C138" i="1"/>
  <c r="C141" i="1" s="1"/>
  <c r="C142" i="1" s="1"/>
  <c r="C143" i="1" s="1"/>
  <c r="C144" i="1" s="1"/>
  <c r="C145" i="1" s="1"/>
  <c r="C149" i="1"/>
  <c r="C152" i="1" s="1"/>
  <c r="C153" i="1" s="1"/>
  <c r="C154" i="1" s="1"/>
  <c r="C155" i="1" s="1"/>
  <c r="C156" i="1" s="1"/>
  <c r="C160" i="1"/>
  <c r="C163" i="1" s="1"/>
  <c r="C164" i="1" s="1"/>
  <c r="C165" i="1" s="1"/>
  <c r="C166" i="1" s="1"/>
  <c r="C167" i="1" s="1"/>
  <c r="C171" i="1"/>
  <c r="C174" i="1" s="1"/>
  <c r="C175" i="1" s="1"/>
  <c r="C176" i="1" s="1"/>
  <c r="C180" i="1"/>
  <c r="C183" i="1" s="1"/>
  <c r="C184" i="1" s="1"/>
  <c r="C185" i="1" s="1"/>
  <c r="C189" i="1"/>
  <c r="C192" i="1"/>
  <c r="C193" i="1" s="1"/>
  <c r="C194" i="1" s="1"/>
  <c r="C195" i="1" s="1"/>
  <c r="C196" i="1" s="1"/>
  <c r="C200" i="1"/>
  <c r="C203" i="1" s="1"/>
  <c r="C204" i="1" s="1"/>
  <c r="C205" i="1" s="1"/>
  <c r="C206" i="1" s="1"/>
  <c r="C207" i="1" s="1"/>
  <c r="C211" i="1"/>
  <c r="C214" i="1" s="1"/>
  <c r="C215" i="1" s="1"/>
  <c r="C216" i="1" s="1"/>
  <c r="C220" i="1"/>
  <c r="C223" i="1"/>
  <c r="C224" i="1" s="1"/>
  <c r="C225" i="1" s="1"/>
  <c r="C229" i="1"/>
  <c r="C232" i="1" s="1"/>
  <c r="C233" i="1" s="1"/>
  <c r="C234" i="1" s="1"/>
  <c r="C235" i="1" s="1"/>
  <c r="C236" i="1" s="1"/>
  <c r="C262" i="1"/>
  <c r="C265" i="1" s="1"/>
  <c r="C266" i="1" s="1"/>
  <c r="C267" i="1" s="1"/>
  <c r="C271" i="1"/>
  <c r="C274" i="1" s="1"/>
  <c r="C275" i="1" s="1"/>
  <c r="C276" i="1" s="1"/>
  <c r="C283" i="1"/>
  <c r="C284" i="1" s="1"/>
  <c r="C285" i="1" s="1"/>
</calcChain>
</file>

<file path=xl/sharedStrings.xml><?xml version="1.0" encoding="utf-8"?>
<sst xmlns="http://schemas.openxmlformats.org/spreadsheetml/2006/main" count="982" uniqueCount="212">
  <si>
    <r>
      <t xml:space="preserve">
Employee's selection of coverage.   </t>
    </r>
    <r>
      <rPr>
        <b/>
        <sz val="11"/>
        <color indexed="10"/>
        <rFont val="Arial"/>
        <family val="2"/>
      </rPr>
      <t>ZTTE0CFLAT/ZTTENCFLAT</t>
    </r>
    <r>
      <rPr>
        <sz val="9"/>
        <rFont val="Arial"/>
        <family val="2"/>
      </rPr>
      <t xml:space="preserve">
</t>
    </r>
  </si>
  <si>
    <r>
      <t xml:space="preserve">
Employee's selection of coverage.  </t>
    </r>
    <r>
      <rPr>
        <b/>
        <sz val="9"/>
        <color indexed="10"/>
        <rFont val="Arial"/>
        <family val="2"/>
      </rPr>
      <t>?????</t>
    </r>
    <r>
      <rPr>
        <sz val="9"/>
        <rFont val="Arial"/>
        <family val="2"/>
      </rPr>
      <t xml:space="preserve">
</t>
    </r>
  </si>
  <si>
    <t>Voluntary Employee - Critical Illness FLAT Amount</t>
  </si>
  <si>
    <r>
      <rPr>
        <sz val="10"/>
        <color indexed="8"/>
        <rFont val="Arial"/>
        <family val="2"/>
      </rPr>
      <t xml:space="preserve">Value: </t>
    </r>
    <r>
      <rPr>
        <b/>
        <sz val="10"/>
        <color indexed="10"/>
        <rFont val="Arial"/>
        <family val="2"/>
      </rPr>
      <t>h</t>
    </r>
  </si>
  <si>
    <r>
      <t xml:space="preserve">
Employee's selection of coverage. </t>
    </r>
    <r>
      <rPr>
        <b/>
        <sz val="11"/>
        <color indexed="10"/>
        <rFont val="Arial"/>
        <family val="2"/>
      </rPr>
      <t>3CI00EDVAB</t>
    </r>
    <r>
      <rPr>
        <sz val="9"/>
        <rFont val="Arial"/>
        <family val="2"/>
      </rPr>
      <t xml:space="preserve">
</t>
    </r>
  </si>
  <si>
    <r>
      <t xml:space="preserve">
Employee's selection of coverage. </t>
    </r>
    <r>
      <rPr>
        <b/>
        <sz val="11"/>
        <color indexed="10"/>
        <rFont val="Arial"/>
        <family val="2"/>
      </rPr>
      <t>3CI00SPVAB</t>
    </r>
    <r>
      <rPr>
        <sz val="9"/>
        <rFont val="Arial"/>
        <family val="2"/>
      </rPr>
      <t xml:space="preserve">
</t>
    </r>
  </si>
  <si>
    <r>
      <t xml:space="preserve">
Employee's selection of coverage.   </t>
    </r>
    <r>
      <rPr>
        <b/>
        <sz val="11"/>
        <color indexed="10"/>
        <rFont val="Arial"/>
        <family val="2"/>
      </rPr>
      <t>3CI0NCFLAT/3CI00CFLAT</t>
    </r>
    <r>
      <rPr>
        <sz val="9"/>
        <rFont val="Arial"/>
        <family val="2"/>
      </rPr>
      <t xml:space="preserve">
</t>
    </r>
  </si>
  <si>
    <r>
      <t xml:space="preserve">
Employee's selection of coverage.   </t>
    </r>
    <r>
      <rPr>
        <b/>
        <sz val="11"/>
        <color indexed="10"/>
        <rFont val="Arial"/>
        <family val="2"/>
      </rPr>
      <t>LTL00NCDEP</t>
    </r>
    <r>
      <rPr>
        <sz val="9"/>
        <rFont val="Arial"/>
        <family val="2"/>
      </rPr>
      <t xml:space="preserve">
</t>
    </r>
  </si>
  <si>
    <r>
      <t xml:space="preserve">Employee Record Values:   </t>
    </r>
    <r>
      <rPr>
        <sz val="9"/>
        <rFont val="Arial"/>
        <family val="2"/>
      </rPr>
      <t xml:space="preserve">
EN – employee election or change of coverage
TM – employee record termination of coverage
SE –  spouse and dependent record termination of coverage </t>
    </r>
  </si>
  <si>
    <r>
      <t xml:space="preserve">
Employee's selection of coverage.  
</t>
    </r>
    <r>
      <rPr>
        <b/>
        <sz val="11"/>
        <color indexed="10"/>
        <rFont val="Arial"/>
        <family val="2"/>
      </rPr>
      <t>6AS000VACC</t>
    </r>
    <r>
      <rPr>
        <sz val="11"/>
        <color indexed="10"/>
        <rFont val="Arial"/>
        <family val="2"/>
      </rPr>
      <t xml:space="preserve">
</t>
    </r>
  </si>
  <si>
    <t>Employee's selection of covered employees
Values:
A - Family
B - employee &amp; Spouse
C - employee Only
D - employee &amp; dependents (not incl. spouse)</t>
  </si>
  <si>
    <t>Voluntary AD&amp;D Coverage employee</t>
  </si>
  <si>
    <t>Elected and Approved Amount Effective Date</t>
  </si>
  <si>
    <t>Effective date for the Elected and Approved Amount elected.   Format:  YYYYMMDD</t>
  </si>
  <si>
    <t>Elected and Approved Amount</t>
  </si>
  <si>
    <t xml:space="preserve">
Elected and Approved Amount Election of coverage. 
Sample of Elected and Approved Amount I.e.  $50,000  = 0000050000
Minimum 5,000  
Maximum 150,000  
Guarantee Issue 30,000  
Increments:  5,000
100% Rule:  Any Spouse or Dependent VLife volume is limited to 100% of the Employee VLife volume. Spouse and/or Dependent may not elect VLife without a employee VLife election
</t>
  </si>
  <si>
    <t xml:space="preserve">
Elected and Approved Amount Election of coverage. 
Sample of Elected and Approved Amount I.e.  $10,000  = 0000010000
Minimum 10,000  
Maximum 10,000  
Guarantee Issue 10,000  
Increments:  10,000
100% Rule:  Any Spouse or Dependent VLife volume is limited to 100% of the Employee VLife volume. Spouse and/or Dependent may not elect VLife without a employee VLife election
</t>
  </si>
  <si>
    <t xml:space="preserve">Elected and Approved Amount Election of coverage. 
Sample of Elected and Approved Amount I.e.  $50,000  = 0000050000
Minimum 10,000  
Maximum 300,000  
Guarantee Issue 120,000  
Increments:  10,000
VAD&amp;D volume must match VLife volume. ( If not matching volume) VAD&amp;D election cannot exceed the VLife election
VLife must be elected in or der to elect VAD&amp;D; Employee VLife must be elected in order to elect spouse and/or dependent VAD&amp;D
</t>
  </si>
  <si>
    <t xml:space="preserve">
Elected and Approved Amount Election of coverage. 
Sample of Elected and Approved Amount I.e.  $50,000  = 0000050000
Minimum 5,000  
Maximum 150,000  
Guarantee Issue 30,000  
Increments:  5,000
VAD&amp;D volume must match VLife volume. ( If not matching volume) VAD&amp;D election cannot exceed the VLife election
VLife must be elected in or der to elect VAD&amp;D; Employee VLife must be elected in order to elect spouse and/or dependent VAD&amp;D
</t>
  </si>
  <si>
    <t xml:space="preserve">
Elected and Approved Amount Election of coverage. 
Sample of Elected and Approved Amount I.e.  $50,000  = 0000050000
Minimum 5,000  
Maximum 200,000  
Guarantee Issue 10,000  
Increments:  5,000
</t>
  </si>
  <si>
    <t xml:space="preserve">
Elected and Approved Amount Election of coverage. 
Sample of Elected and Approved Amount I.e.  $50,000  = 0000050000
Minimum 5,000  
Maximum 20,000  
Guarantee Issue 10,000  
Increments:  5,000
</t>
  </si>
  <si>
    <t>Voluntary Term Life Coverage Employee</t>
  </si>
  <si>
    <t xml:space="preserve">Effective date corresponding to the election or termination of coverage.  
Format:  YYYYMMDD  </t>
  </si>
  <si>
    <t xml:space="preserve">Effective date corresponding to the election or termination of coverage.  
Format:  YYYYMMDD   </t>
  </si>
  <si>
    <t xml:space="preserve">
Employee's Basic salary amount:  Assume decimal.  Example:  $50,000 =  0000000005000000
</t>
  </si>
  <si>
    <t>Employee's Additional Compensation amount.  Assume decimal.  Example: $50,000 = 0000000005000000</t>
  </si>
  <si>
    <t xml:space="preserve">Last Name.  </t>
  </si>
  <si>
    <t xml:space="preserve">First Name.  </t>
  </si>
  <si>
    <r>
      <t>MEM</t>
    </r>
    <r>
      <rPr>
        <b/>
        <sz val="9"/>
        <rFont val="Arial"/>
        <family val="2"/>
      </rPr>
      <t xml:space="preserve"> REQ’D</t>
    </r>
  </si>
  <si>
    <r>
      <t>SP/DP</t>
    </r>
    <r>
      <rPr>
        <sz val="10"/>
        <color indexed="10"/>
        <rFont val="Arial"/>
        <family val="2"/>
      </rPr>
      <t xml:space="preserve">
</t>
    </r>
    <r>
      <rPr>
        <b/>
        <sz val="9"/>
        <rFont val="Arial"/>
        <family val="2"/>
      </rPr>
      <t>REQ’D</t>
    </r>
  </si>
  <si>
    <t>Position/Column Number</t>
  </si>
  <si>
    <r>
      <t xml:space="preserve">For all fields not being used below, please format to include filler spaces </t>
    </r>
    <r>
      <rPr>
        <b/>
        <u/>
        <sz val="14"/>
        <color indexed="10"/>
        <rFont val="Arial"/>
        <family val="2"/>
      </rPr>
      <t xml:space="preserve">NOT TABS
</t>
    </r>
    <r>
      <rPr>
        <b/>
        <u/>
        <sz val="9"/>
        <color indexed="10"/>
        <rFont val="Arial"/>
        <family val="2"/>
      </rPr>
      <t xml:space="preserve">(Fillers are used to ensure that the following columns of data begin at the correct positions on the file.  </t>
    </r>
  </si>
  <si>
    <t>It is CRITICAL that data start in the column positions outlined below</t>
  </si>
  <si>
    <t>MUTUAL OF OMAHA CONTACT:</t>
  </si>
  <si>
    <t>1st Additional Compensation Effective Date</t>
  </si>
  <si>
    <t>1st Additional Compensation Mode</t>
  </si>
  <si>
    <t>1st Additional Compensation Type</t>
  </si>
  <si>
    <t>1st Additional Compensation Amount</t>
  </si>
  <si>
    <t>FIELD NAME</t>
  </si>
  <si>
    <t>DESCRIPTION</t>
  </si>
  <si>
    <t>DEMOGRAPHICS SEGMENT</t>
  </si>
  <si>
    <t>Trans Date</t>
  </si>
  <si>
    <t>REQ</t>
  </si>
  <si>
    <t>Format:  YYYYMMDD</t>
  </si>
  <si>
    <t>Group ID</t>
  </si>
  <si>
    <t>Relationship Code</t>
  </si>
  <si>
    <t>N/A</t>
  </si>
  <si>
    <t>Last Name</t>
  </si>
  <si>
    <t>First Name</t>
  </si>
  <si>
    <t>Gender Code</t>
  </si>
  <si>
    <t>Date of Birth</t>
  </si>
  <si>
    <t>Address Line 1</t>
  </si>
  <si>
    <t>Address Line 2</t>
  </si>
  <si>
    <t>City</t>
  </si>
  <si>
    <t>State</t>
  </si>
  <si>
    <t>Zip Code</t>
  </si>
  <si>
    <t>Date of Hire (DOH)</t>
  </si>
  <si>
    <t>Subgroup Relationship Effective Date</t>
  </si>
  <si>
    <t>Subgroup ID</t>
  </si>
  <si>
    <t>CR</t>
  </si>
  <si>
    <t>SALARY DATA SEGMENT</t>
  </si>
  <si>
    <t>Basic Salary Effective Date</t>
  </si>
  <si>
    <t>Basic Salary Mode</t>
  </si>
  <si>
    <t>Basic Salary Amount</t>
  </si>
  <si>
    <t>CLASS DATA SEGMENT</t>
  </si>
  <si>
    <t>Class Effective Date</t>
  </si>
  <si>
    <t>Class ID</t>
  </si>
  <si>
    <t>Effective Date</t>
  </si>
  <si>
    <t>DATA LENGTH-FORMAT</t>
  </si>
  <si>
    <t>Product Category</t>
  </si>
  <si>
    <t>Eligibility Event</t>
  </si>
  <si>
    <t>Plan ID</t>
  </si>
  <si>
    <t>Family Coverage Indicator</t>
  </si>
  <si>
    <t>X</t>
  </si>
  <si>
    <t>Alpha (X)/Numeric (9)</t>
  </si>
  <si>
    <t>ELIGIBILITY SEGMENTS</t>
  </si>
  <si>
    <t>Values are: H= Hourly; W= Weekly; B= Bi-weekly; S= Semi-Monthly; M= Monthly; A= Annual</t>
  </si>
  <si>
    <t>x</t>
  </si>
  <si>
    <t>Bill Group DATA SEGMENT</t>
  </si>
  <si>
    <t>Basic Life</t>
  </si>
  <si>
    <t>Basic AD&amp;D</t>
  </si>
  <si>
    <t>Basic STD</t>
  </si>
  <si>
    <t>Basic LTD</t>
  </si>
  <si>
    <t>Basic DEPENDENT LIFE</t>
  </si>
  <si>
    <t>Voluntary Term Life Coverage Spouse</t>
  </si>
  <si>
    <t>Voluntary Term Life Coverage Dependent</t>
  </si>
  <si>
    <t>Values are M = Male; F = Female</t>
  </si>
  <si>
    <t>Date of transaction file preparation date. Format:  YYYYMMDD</t>
  </si>
  <si>
    <r>
      <t xml:space="preserve">
Values: H = Hourly;  W = Weekly; B = Bi-weekly;  S = Semi-monthly; M = Monthly; </t>
    </r>
    <r>
      <rPr>
        <b/>
        <sz val="9"/>
        <color indexed="10"/>
        <rFont val="Arial"/>
        <family val="2"/>
      </rPr>
      <t xml:space="preserve"> 
(preferred mode) A = Annual    
</t>
    </r>
  </si>
  <si>
    <r>
      <t>Requirements Key:</t>
    </r>
    <r>
      <rPr>
        <sz val="12"/>
        <rFont val="Arial"/>
        <family val="2"/>
      </rPr>
      <t xml:space="preserve">  </t>
    </r>
    <r>
      <rPr>
        <b/>
        <sz val="12"/>
        <color indexed="10"/>
        <rFont val="Arial"/>
        <family val="2"/>
      </rPr>
      <t>REQ</t>
    </r>
    <r>
      <rPr>
        <sz val="12"/>
        <rFont val="Arial"/>
        <family val="2"/>
      </rPr>
      <t xml:space="preserve">=Required  </t>
    </r>
    <r>
      <rPr>
        <b/>
        <sz val="12"/>
        <color indexed="10"/>
        <rFont val="Arial"/>
        <family val="2"/>
      </rPr>
      <t>OPT</t>
    </r>
    <r>
      <rPr>
        <sz val="12"/>
        <rFont val="Arial"/>
        <family val="2"/>
      </rPr>
      <t xml:space="preserve">=Optional  </t>
    </r>
    <r>
      <rPr>
        <b/>
        <sz val="12"/>
        <color indexed="10"/>
        <rFont val="Arial"/>
        <family val="2"/>
      </rPr>
      <t>CR</t>
    </r>
    <r>
      <rPr>
        <sz val="12"/>
        <rFont val="Arial"/>
        <family val="2"/>
      </rPr>
      <t xml:space="preserve">=Conditionally Required  </t>
    </r>
    <r>
      <rPr>
        <b/>
        <sz val="12"/>
        <color indexed="10"/>
        <rFont val="Arial"/>
        <family val="2"/>
      </rPr>
      <t>N/A</t>
    </r>
    <r>
      <rPr>
        <sz val="12"/>
        <rFont val="Arial"/>
        <family val="2"/>
      </rPr>
      <t xml:space="preserve">=Omit  </t>
    </r>
  </si>
  <si>
    <t>Be Advised that all testing data submitted must be active live data in order to perform a true system to system test.</t>
  </si>
  <si>
    <r>
      <t xml:space="preserve">Value: </t>
    </r>
    <r>
      <rPr>
        <b/>
        <sz val="11"/>
        <color indexed="10"/>
        <rFont val="Arial"/>
        <family val="2"/>
      </rPr>
      <t>1</t>
    </r>
  </si>
  <si>
    <t>Voluntary STD</t>
  </si>
  <si>
    <r>
      <t>Value:</t>
    </r>
    <r>
      <rPr>
        <sz val="10"/>
        <color indexed="10"/>
        <rFont val="Arial"/>
        <family val="2"/>
      </rPr>
      <t xml:space="preserve"> </t>
    </r>
    <r>
      <rPr>
        <b/>
        <sz val="11"/>
        <color indexed="10"/>
        <rFont val="Arial"/>
        <family val="2"/>
      </rPr>
      <t>a</t>
    </r>
  </si>
  <si>
    <r>
      <t xml:space="preserve">Value: </t>
    </r>
    <r>
      <rPr>
        <b/>
        <sz val="11"/>
        <color indexed="10"/>
        <rFont val="Arial"/>
        <family val="2"/>
      </rPr>
      <t>S</t>
    </r>
  </si>
  <si>
    <r>
      <t xml:space="preserve">Value: </t>
    </r>
    <r>
      <rPr>
        <b/>
        <sz val="11"/>
        <color indexed="10"/>
        <rFont val="Arial"/>
        <family val="2"/>
      </rPr>
      <t>T</t>
    </r>
  </si>
  <si>
    <r>
      <t>Value:</t>
    </r>
    <r>
      <rPr>
        <sz val="11"/>
        <color indexed="10"/>
        <rFont val="Arial"/>
        <family val="2"/>
      </rPr>
      <t xml:space="preserve"> </t>
    </r>
    <r>
      <rPr>
        <b/>
        <sz val="11"/>
        <color indexed="10"/>
        <rFont val="Arial"/>
        <family val="2"/>
      </rPr>
      <t>3</t>
    </r>
  </si>
  <si>
    <r>
      <t xml:space="preserve">Value: </t>
    </r>
    <r>
      <rPr>
        <b/>
        <sz val="11"/>
        <color indexed="10"/>
        <rFont val="Arial"/>
        <family val="2"/>
      </rPr>
      <t>4</t>
    </r>
  </si>
  <si>
    <r>
      <t xml:space="preserve">Value: </t>
    </r>
    <r>
      <rPr>
        <b/>
        <sz val="11"/>
        <color indexed="10"/>
        <rFont val="Arial"/>
        <family val="2"/>
      </rPr>
      <t>5</t>
    </r>
  </si>
  <si>
    <r>
      <t xml:space="preserve">Value: </t>
    </r>
    <r>
      <rPr>
        <b/>
        <sz val="11"/>
        <color indexed="10"/>
        <rFont val="Arial"/>
        <family val="2"/>
      </rPr>
      <t>Q</t>
    </r>
  </si>
  <si>
    <r>
      <t xml:space="preserve">Value: </t>
    </r>
    <r>
      <rPr>
        <b/>
        <sz val="11"/>
        <color indexed="10"/>
        <rFont val="Arial"/>
        <family val="2"/>
      </rPr>
      <t>6</t>
    </r>
  </si>
  <si>
    <r>
      <t xml:space="preserve">Termination Rules: </t>
    </r>
    <r>
      <rPr>
        <sz val="9"/>
        <rFont val="Arial"/>
        <family val="2"/>
      </rPr>
      <t xml:space="preserve"> When a benefit can be terminated.  (i.e.  On the Day, First Day, or Last Day of the month.) </t>
    </r>
    <r>
      <rPr>
        <b/>
        <sz val="9"/>
        <rFont val="Arial"/>
        <family val="2"/>
      </rPr>
      <t xml:space="preserve"> </t>
    </r>
  </si>
  <si>
    <t>Smioking Status Segment (Mutual of Omaha will advise when appropriate to use this segment)</t>
  </si>
  <si>
    <t>Employment Data Segment</t>
  </si>
  <si>
    <t>Location Effective Date</t>
  </si>
  <si>
    <t>Location ID</t>
  </si>
  <si>
    <t>Location Description</t>
  </si>
  <si>
    <t xml:space="preserve">NA </t>
  </si>
  <si>
    <r>
      <t xml:space="preserve">Mutual of Omaha will advise when appropriate to send additional Compensation amounts.
Values: </t>
    </r>
    <r>
      <rPr>
        <b/>
        <sz val="9"/>
        <color indexed="8"/>
        <rFont val="Arial"/>
        <family val="2"/>
      </rPr>
      <t>01 = Commissions; 02 = Bonus; 03 = Overtime; 04 = Shift Differential; 05 = Other Compensation; 06 = Emp Contribution to Deferred Compensation Plans; 10 = Total Earnings</t>
    </r>
  </si>
  <si>
    <t>Smoker Status Effective Date</t>
  </si>
  <si>
    <t>Smoker Indicator</t>
  </si>
  <si>
    <t>Dental Benefit Wait Period/Late Entrant</t>
  </si>
  <si>
    <r>
      <rPr>
        <sz val="10"/>
        <color indexed="8"/>
        <rFont val="Arial"/>
        <family val="2"/>
      </rPr>
      <t>Value:</t>
    </r>
    <r>
      <rPr>
        <b/>
        <sz val="10"/>
        <color indexed="8"/>
        <rFont val="Arial"/>
        <family val="2"/>
      </rPr>
      <t xml:space="preserve"> </t>
    </r>
    <r>
      <rPr>
        <b/>
        <sz val="11"/>
        <color indexed="8"/>
        <rFont val="Arial"/>
        <family val="2"/>
      </rPr>
      <t>D</t>
    </r>
  </si>
  <si>
    <t>Effectiive Date</t>
  </si>
  <si>
    <t>Effective Date corresponding to the election, change or termination of coverage.  Format:  YYYYMMDD</t>
  </si>
  <si>
    <t xml:space="preserve">Termination Rules:  When a benefit can be terminated.  (i.e.  On the Day, First Day, or Last Day of the month.)  </t>
  </si>
  <si>
    <r>
      <t xml:space="preserve">Termination Rules: </t>
    </r>
    <r>
      <rPr>
        <sz val="9"/>
        <rFont val="Arial"/>
        <family val="2"/>
      </rPr>
      <t xml:space="preserve"> Termination Effective </t>
    </r>
    <r>
      <rPr>
        <b/>
        <sz val="9"/>
        <rFont val="Arial"/>
        <family val="2"/>
      </rPr>
      <t xml:space="preserve">  On the Day, First Day, or Last Day of the month.</t>
    </r>
    <r>
      <rPr>
        <sz val="9"/>
        <rFont val="Arial"/>
        <family val="2"/>
      </rPr>
      <t xml:space="preserve">.  </t>
    </r>
  </si>
  <si>
    <r>
      <t>Value:</t>
    </r>
    <r>
      <rPr>
        <sz val="11"/>
        <color indexed="10"/>
        <rFont val="Arial"/>
        <family val="2"/>
      </rPr>
      <t xml:space="preserve"> </t>
    </r>
    <r>
      <rPr>
        <b/>
        <sz val="11"/>
        <color indexed="10"/>
        <rFont val="Arial"/>
        <family val="2"/>
      </rPr>
      <t>c  (lower case)</t>
    </r>
  </si>
  <si>
    <t>Voluntary AD&amp;D Coverage Spouse</t>
  </si>
  <si>
    <t>Voluntary AD&amp;D Coverage Dependent</t>
  </si>
  <si>
    <r>
      <t xml:space="preserve">Value: </t>
    </r>
    <r>
      <rPr>
        <b/>
        <sz val="11"/>
        <color indexed="10"/>
        <rFont val="Arial"/>
        <family val="2"/>
      </rPr>
      <t>d</t>
    </r>
  </si>
  <si>
    <r>
      <t xml:space="preserve">Value: </t>
    </r>
    <r>
      <rPr>
        <b/>
        <sz val="11"/>
        <color indexed="10"/>
        <rFont val="Arial"/>
        <family val="2"/>
      </rPr>
      <t>e</t>
    </r>
  </si>
  <si>
    <t>Voluntary LTD</t>
  </si>
  <si>
    <r>
      <t xml:space="preserve">Value: </t>
    </r>
    <r>
      <rPr>
        <b/>
        <sz val="11"/>
        <color indexed="10"/>
        <rFont val="Arial"/>
        <family val="2"/>
      </rPr>
      <t>L</t>
    </r>
  </si>
  <si>
    <r>
      <t>Value:</t>
    </r>
    <r>
      <rPr>
        <sz val="11"/>
        <color indexed="10"/>
        <rFont val="Arial"/>
        <family val="2"/>
      </rPr>
      <t xml:space="preserve"> </t>
    </r>
    <r>
      <rPr>
        <b/>
        <sz val="11"/>
        <color indexed="10"/>
        <rFont val="Arial"/>
        <family val="2"/>
      </rPr>
      <t>A</t>
    </r>
  </si>
  <si>
    <t>Voluntary Employee/Children Critical Illness</t>
  </si>
  <si>
    <t>Voluntary Spouse Critical Illness</t>
  </si>
  <si>
    <r>
      <t>Value:</t>
    </r>
    <r>
      <rPr>
        <sz val="11"/>
        <color indexed="10"/>
        <rFont val="Arial"/>
        <family val="2"/>
      </rPr>
      <t xml:space="preserve"> </t>
    </r>
    <r>
      <rPr>
        <b/>
        <sz val="11"/>
        <color indexed="10"/>
        <rFont val="Arial"/>
        <family val="2"/>
      </rPr>
      <t>J</t>
    </r>
  </si>
  <si>
    <t>Dental</t>
  </si>
  <si>
    <t>Voluntary Accident</t>
  </si>
  <si>
    <r>
      <rPr>
        <sz val="10"/>
        <color indexed="8"/>
        <rFont val="Arial"/>
        <family val="2"/>
      </rPr>
      <t>Value:</t>
    </r>
    <r>
      <rPr>
        <b/>
        <sz val="10"/>
        <color indexed="8"/>
        <rFont val="Arial"/>
        <family val="2"/>
      </rPr>
      <t xml:space="preserve"> </t>
    </r>
    <r>
      <rPr>
        <b/>
        <sz val="11"/>
        <color indexed="10"/>
        <rFont val="Arial"/>
        <family val="2"/>
      </rPr>
      <t>g</t>
    </r>
  </si>
  <si>
    <r>
      <t>Value:</t>
    </r>
    <r>
      <rPr>
        <sz val="11"/>
        <color indexed="10"/>
        <rFont val="Arial"/>
        <family val="2"/>
      </rPr>
      <t xml:space="preserve"> </t>
    </r>
    <r>
      <rPr>
        <b/>
        <sz val="11"/>
        <color indexed="10"/>
        <rFont val="Arial"/>
        <family val="2"/>
      </rPr>
      <t xml:space="preserve">C  </t>
    </r>
  </si>
  <si>
    <t>Special Risk Vol AD&amp;D - Employee</t>
  </si>
  <si>
    <r>
      <t>Value:</t>
    </r>
    <r>
      <rPr>
        <sz val="11"/>
        <color indexed="10"/>
        <rFont val="Arial"/>
        <family val="2"/>
      </rPr>
      <t xml:space="preserve"> </t>
    </r>
    <r>
      <rPr>
        <b/>
        <sz val="11"/>
        <color indexed="10"/>
        <rFont val="Arial"/>
        <family val="2"/>
      </rPr>
      <t>b</t>
    </r>
  </si>
  <si>
    <t>EAP - LTD Flat</t>
  </si>
  <si>
    <r>
      <t xml:space="preserve">Value: </t>
    </r>
    <r>
      <rPr>
        <b/>
        <sz val="11"/>
        <color indexed="10"/>
        <rFont val="Arial"/>
        <family val="2"/>
      </rPr>
      <t>E</t>
    </r>
  </si>
  <si>
    <t>Basic Accident</t>
  </si>
  <si>
    <t>Effective date of the employee's additional compensation.  Format:  YYYYMMDD
Initially will be the date of hire or the effective date of the group with  (YYYYMMDD), whichever is greater, but must change as amount increase or decrease occurs.</t>
  </si>
  <si>
    <t>Values:  B - bother employee and spouse smoker; N - Neither smoke; S - employee Only; P Spouse only smokers</t>
  </si>
  <si>
    <t>C – employee only</t>
  </si>
  <si>
    <t>Waiting Period:  Elapsed time before employee can be eligible for benefits (In days); and rule on when the benefits will actually start</t>
  </si>
  <si>
    <t>employee's selection of covered employees
Values:
A - Family
B - employee &amp; Spouse
C - employee Only
D - employee &amp; dependents (not incl. spouse)</t>
  </si>
  <si>
    <t>Employee’s social security number.  Format:  NNNNNNNNN</t>
  </si>
  <si>
    <t xml:space="preserve">
Employee’s employment date.  Format:  YYYYMMDD.  Prefer original employment date, unless otherwise notified by Mutual of Omaha.  
IMPORTANT:  Field value is to remain unchanged. 
</t>
  </si>
  <si>
    <r>
      <t xml:space="preserve">Employee Record Values:   
</t>
    </r>
    <r>
      <rPr>
        <sz val="9"/>
        <rFont val="Arial"/>
        <family val="2"/>
      </rPr>
      <t xml:space="preserve">EN – employee election or change of coverage
TM – employee record termination of coverage.  
SE – spouse and dependent record termination of coverage </t>
    </r>
  </si>
  <si>
    <r>
      <t xml:space="preserve">
employee's selection of coverage.   </t>
    </r>
    <r>
      <rPr>
        <b/>
        <sz val="11"/>
        <rFont val="Arial"/>
        <family val="2"/>
      </rPr>
      <t>STS00NCSAL/ STS000CSAL</t>
    </r>
    <r>
      <rPr>
        <sz val="9"/>
        <rFont val="Arial"/>
        <family val="2"/>
      </rPr>
      <t xml:space="preserve">
</t>
    </r>
  </si>
  <si>
    <r>
      <t xml:space="preserve">
employee's selection of coverage.   </t>
    </r>
    <r>
      <rPr>
        <b/>
        <sz val="11"/>
        <rFont val="Arial"/>
        <family val="2"/>
      </rPr>
      <t xml:space="preserve">TTT00NCSAL/TTT000CSAL
</t>
    </r>
  </si>
  <si>
    <t xml:space="preserve">
Elected and Approved Amount Election of coverage. 
Sample of Elected and Approved Amount I.e.  $50,000  = 0000050000
Minimum 10,000  
Maximum 300,000  
Guarantee Issue 120,000  
Increments:  10,000
5x Salary Rule:  Employee voluntary volume is limited to 5x salary, rounded up to the next 10,000
</t>
  </si>
  <si>
    <r>
      <t>Waiting Period:  Elapsed time before employee can be eligible for benefits (</t>
    </r>
    <r>
      <rPr>
        <b/>
        <sz val="9"/>
        <color indexed="10"/>
        <rFont val="Arial"/>
        <family val="2"/>
      </rPr>
      <t>XX</t>
    </r>
    <r>
      <rPr>
        <b/>
        <sz val="9"/>
        <rFont val="Arial"/>
        <family val="2"/>
      </rPr>
      <t xml:space="preserve">) and rule on when the benefits start ( On the Day, First Day, or Last Day of the month.).  </t>
    </r>
  </si>
  <si>
    <t xml:space="preserve">
Elected and Approved Amount Election of coverage. 
Sample of Elected and Approved Amount I.e.  $10,000  = 0000010000
Minimum 10,000  
Maximum 10,000  
Guarantee Issue 10,000  
Increments:  10,000
VAD&amp;D volume must match VLife volume. ( If not matching volume) VAD&amp;D election cannot exceed the VLife election
VLife must be elected in or der to elect VAD&amp;D; Employee VLife must be elected in order to elect spouse and/or dependent VAD&amp;D
</t>
  </si>
  <si>
    <r>
      <t xml:space="preserve">Used only when Mutual of Omaha Dental Coverage is applicable.  Values:  Y or N
</t>
    </r>
    <r>
      <rPr>
        <b/>
        <sz val="9"/>
        <color indexed="48"/>
        <rFont val="Arial"/>
        <family val="2"/>
      </rPr>
      <t>Benefit Waiting Period Instructions:  For employees covered by the prior carrier, provide a 'N' so that the Dental Benefit Waiting Period will NOT apply.  Provide a 'Y' for all other employees.</t>
    </r>
    <r>
      <rPr>
        <b/>
        <sz val="9"/>
        <rFont val="Arial"/>
        <family val="2"/>
      </rPr>
      <t xml:space="preserve">
</t>
    </r>
    <r>
      <rPr>
        <b/>
        <sz val="9"/>
        <color indexed="14"/>
        <rFont val="Arial"/>
        <family val="2"/>
      </rPr>
      <t>Late Entrant Instructions:  For employees who select coverage at the time they are initially eligible, provide a 'N' to indicate the Late Entrant provision does NOT apply.  Provide a "Y" for all other employees.</t>
    </r>
  </si>
  <si>
    <r>
      <t xml:space="preserve">
employee's selection of coverage.   
</t>
    </r>
    <r>
      <rPr>
        <b/>
        <sz val="12"/>
        <color indexed="10"/>
        <rFont val="Arial"/>
        <family val="2"/>
      </rPr>
      <t>YTS0PCVSAL/YTS0PCVABS/YTS000CSAL/YTS0CABSAL(age band)</t>
    </r>
    <r>
      <rPr>
        <sz val="9"/>
        <rFont val="Arial"/>
        <family val="2"/>
      </rPr>
      <t xml:space="preserve">
</t>
    </r>
  </si>
  <si>
    <t>Employee Effective Date</t>
  </si>
  <si>
    <t>Employee ID</t>
  </si>
  <si>
    <t>Need to verify if required for Voluntary Critical Illness</t>
  </si>
  <si>
    <r>
      <rPr>
        <b/>
        <i/>
        <sz val="12"/>
        <color rgb="FFFF0000"/>
        <rFont val="Arial"/>
        <family val="2"/>
      </rPr>
      <t xml:space="preserve"> (only applicable for Dental)</t>
    </r>
    <r>
      <rPr>
        <sz val="12"/>
        <rFont val="Arial"/>
        <family val="2"/>
      </rPr>
      <t xml:space="preserve"> </t>
    </r>
    <r>
      <rPr>
        <sz val="9"/>
        <rFont val="Arial"/>
        <family val="2"/>
      </rPr>
      <t xml:space="preserve">Supplemental address (Box Number, Apartment number, etc.)  Use Post Office abbreviations. 
</t>
    </r>
    <r>
      <rPr>
        <b/>
        <sz val="9"/>
        <rFont val="Arial"/>
        <family val="2"/>
      </rPr>
      <t>Text and Numbers only - no punctuation nor symbols.  (@-#$%^&amp;*)</t>
    </r>
  </si>
  <si>
    <r>
      <rPr>
        <b/>
        <i/>
        <sz val="12"/>
        <color rgb="FFFF0000"/>
        <rFont val="Arial"/>
        <family val="2"/>
      </rPr>
      <t xml:space="preserve"> (only applicable for Dental)</t>
    </r>
    <r>
      <rPr>
        <sz val="9"/>
        <rFont val="Arial"/>
        <family val="2"/>
      </rPr>
      <t>Primary street address.  Use Post Office abbreviations.  Exclude punctuation and symbols.</t>
    </r>
    <r>
      <rPr>
        <sz val="10"/>
        <rFont val="Arial"/>
        <family val="2"/>
      </rPr>
      <t xml:space="preserve"> 
</t>
    </r>
    <r>
      <rPr>
        <b/>
        <sz val="10"/>
        <color theme="7" tint="-0.249977111117893"/>
        <rFont val="Arial"/>
        <family val="2"/>
      </rPr>
      <t xml:space="preserve">If foreign country submit company mailing address; </t>
    </r>
  </si>
  <si>
    <r>
      <rPr>
        <b/>
        <i/>
        <sz val="12"/>
        <color rgb="FFFF0000"/>
        <rFont val="Arial"/>
        <family val="2"/>
      </rPr>
      <t xml:space="preserve"> (only applicable for Dental)</t>
    </r>
    <r>
      <rPr>
        <b/>
        <i/>
        <sz val="11"/>
        <color rgb="FFFF0000"/>
        <rFont val="Arial"/>
        <family val="2"/>
      </rPr>
      <t xml:space="preserve"> </t>
    </r>
    <r>
      <rPr>
        <sz val="9"/>
        <color rgb="FFFF0000"/>
        <rFont val="Arial"/>
        <family val="2"/>
      </rPr>
      <t xml:space="preserve"> </t>
    </r>
    <r>
      <rPr>
        <sz val="9"/>
        <rFont val="Arial"/>
        <family val="2"/>
      </rPr>
      <t xml:space="preserve">City of residence.  
</t>
    </r>
    <r>
      <rPr>
        <b/>
        <sz val="9"/>
        <rFont val="Arial"/>
        <family val="2"/>
      </rPr>
      <t xml:space="preserve">Text only - no punctuation nor symbols.  (@-#$%^&amp;*) </t>
    </r>
    <r>
      <rPr>
        <b/>
        <sz val="10"/>
        <color theme="7" tint="-0.249977111117893"/>
        <rFont val="Arial"/>
        <family val="2"/>
      </rPr>
      <t xml:space="preserve"> 
 If foreign country submit company mailing address / city </t>
    </r>
  </si>
  <si>
    <r>
      <rPr>
        <b/>
        <i/>
        <sz val="12"/>
        <color rgb="FFFF0000"/>
        <rFont val="Arial"/>
        <family val="2"/>
      </rPr>
      <t xml:space="preserve">(only applicable for Dental)  </t>
    </r>
    <r>
      <rPr>
        <b/>
        <i/>
        <sz val="11"/>
        <color rgb="FFFF0000"/>
        <rFont val="Arial"/>
        <family val="2"/>
      </rPr>
      <t xml:space="preserve"> </t>
    </r>
    <r>
      <rPr>
        <sz val="9"/>
        <rFont val="Arial"/>
        <family val="2"/>
      </rPr>
      <t xml:space="preserve">State of residence.  (Example:  CA, FL, etc.)
</t>
    </r>
    <r>
      <rPr>
        <b/>
        <sz val="10"/>
        <color theme="7" tint="-0.249977111117893"/>
        <rFont val="Arial"/>
        <family val="2"/>
      </rPr>
      <t>If foreign country submit company mailing address / state</t>
    </r>
  </si>
  <si>
    <r>
      <rPr>
        <b/>
        <i/>
        <sz val="12"/>
        <color rgb="FFFF0000"/>
        <rFont val="Arial"/>
        <family val="2"/>
      </rPr>
      <t xml:space="preserve">(only applicable for Dental) </t>
    </r>
    <r>
      <rPr>
        <sz val="9"/>
        <rFont val="Arial"/>
        <family val="2"/>
      </rPr>
      <t xml:space="preserve">  Postal zip code.  Format: </t>
    </r>
    <r>
      <rPr>
        <b/>
        <sz val="11"/>
        <rFont val="Arial"/>
        <family val="2"/>
      </rPr>
      <t xml:space="preserve"> XXXXX </t>
    </r>
    <r>
      <rPr>
        <sz val="9"/>
        <rFont val="Arial"/>
        <family val="2"/>
      </rPr>
      <t xml:space="preserve">or XXXXXXXXX   </t>
    </r>
    <r>
      <rPr>
        <b/>
        <sz val="9"/>
        <rFont val="Arial"/>
        <family val="2"/>
      </rPr>
      <t>No hyphens.</t>
    </r>
    <r>
      <rPr>
        <sz val="9"/>
        <rFont val="Arial"/>
        <family val="2"/>
      </rPr>
      <t xml:space="preserve">  
</t>
    </r>
    <r>
      <rPr>
        <b/>
        <sz val="10"/>
        <color theme="7" tint="-0.249977111117893"/>
        <rFont val="Arial"/>
        <family val="2"/>
      </rPr>
      <t>If foreign country submit company mailing address / ZIP</t>
    </r>
  </si>
  <si>
    <t xml:space="preserve">
Note - Termination Date must be Last Day of Coverage PLUS ONE DAY.
Example:  On the last day:  Last Day Worked 07/15/2017; Termination Date 08/01/2017
</t>
  </si>
  <si>
    <t xml:space="preserve">
Note - Termination Date must be Last Day of Coverage PLUS ONE DAY.
Example:  On the last day:  Last Day Worked 07/15/2017; Termination Date 08/01/2017
Example:  On the day:  Last Day Worked 07/15/2017; Termination Date 07/16/2017
</t>
  </si>
  <si>
    <t>Example: 60 Days; Effective First Day of Policy Month: Hired 02/15/2017;  Effective date 05/01/2017
Example:  0 Days; Effective on the day;  Hired 03/15/2017; Effective date 03/15/2017</t>
  </si>
  <si>
    <r>
      <t xml:space="preserve">Termination Rules: </t>
    </r>
    <r>
      <rPr>
        <sz val="9"/>
        <rFont val="Arial"/>
        <family val="2"/>
      </rPr>
      <t xml:space="preserve"> Termination Effective </t>
    </r>
    <r>
      <rPr>
        <b/>
        <sz val="9"/>
        <rFont val="Arial"/>
        <family val="2"/>
      </rPr>
      <t xml:space="preserve">  On the Day</t>
    </r>
  </si>
  <si>
    <r>
      <t xml:space="preserve">
Employee's selection of coverage.  
</t>
    </r>
    <r>
      <rPr>
        <b/>
        <sz val="12"/>
        <color indexed="10"/>
        <rFont val="Arial"/>
        <family val="2"/>
      </rPr>
      <t>ETL0CEEVAL
ETL00CEEGF: benefit amount carried with prior carrier that do not fit the Mutual plan design- Mutual will advise when applicable</t>
    </r>
    <r>
      <rPr>
        <sz val="9"/>
        <rFont val="Arial"/>
        <family val="2"/>
      </rPr>
      <t xml:space="preserve">
</t>
    </r>
  </si>
  <si>
    <r>
      <t xml:space="preserve">
Employee's selection of coverage.  
</t>
    </r>
    <r>
      <rPr>
        <b/>
        <sz val="11"/>
        <color indexed="10"/>
        <rFont val="Arial"/>
        <family val="2"/>
      </rPr>
      <t>ETL0CSPVAL
ETL00CSPGF:   benefit amount carried with prior carrier that do not fit the Mutual plan design- Mutual will advise when applicable</t>
    </r>
    <r>
      <rPr>
        <sz val="9"/>
        <rFont val="Arial"/>
        <family val="2"/>
      </rPr>
      <t xml:space="preserve">
</t>
    </r>
  </si>
  <si>
    <r>
      <t xml:space="preserve">
Employee's selection of coverage.  
</t>
    </r>
    <r>
      <rPr>
        <b/>
        <sz val="11"/>
        <color indexed="10"/>
        <rFont val="Arial"/>
        <family val="2"/>
      </rPr>
      <t>ETL0CDPVAL
ETL00CDPGF: benefit amount carried with prior carrier that do not fit the Mutual plan design- Mutual will advise when applicable</t>
    </r>
    <r>
      <rPr>
        <sz val="9"/>
        <rFont val="Arial"/>
        <family val="2"/>
      </rPr>
      <t xml:space="preserve">
</t>
    </r>
  </si>
  <si>
    <r>
      <t xml:space="preserve">
Employee's selection of coverage.  
</t>
    </r>
    <r>
      <rPr>
        <b/>
        <sz val="11"/>
        <color indexed="10"/>
        <rFont val="Arial"/>
        <family val="2"/>
      </rPr>
      <t>BTA0CEEVAL
BTA00CEEGF: benefit amount carried with prior carrier that do not fit the Mutual plan design- Mutual will advise when applicable</t>
    </r>
    <r>
      <rPr>
        <sz val="9"/>
        <rFont val="Arial"/>
        <family val="2"/>
      </rPr>
      <t xml:space="preserve">
</t>
    </r>
  </si>
  <si>
    <r>
      <t xml:space="preserve">
Employee's selection of coverage.  
</t>
    </r>
    <r>
      <rPr>
        <b/>
        <sz val="11"/>
        <color indexed="10"/>
        <rFont val="Arial"/>
        <family val="2"/>
      </rPr>
      <t>BTA0CSPVAL
BTA00CSPGF:  benefit amount carried with prior carrier that do not fit the Mutual plan design- Mutual will advise when applicable</t>
    </r>
    <r>
      <rPr>
        <sz val="9"/>
        <rFont val="Arial"/>
        <family val="2"/>
      </rPr>
      <t xml:space="preserve">
</t>
    </r>
  </si>
  <si>
    <r>
      <t xml:space="preserve">
Employee's selection of coverage.  
</t>
    </r>
    <r>
      <rPr>
        <b/>
        <sz val="11"/>
        <color indexed="10"/>
        <rFont val="Arial"/>
        <family val="2"/>
      </rPr>
      <t>BTA0CDPVAL
BTA00CDPGF:  benefit amount carried with prior carrier that do not fit the Mutual plan design- Mutual will advise when applicable</t>
    </r>
    <r>
      <rPr>
        <sz val="9"/>
        <rFont val="Arial"/>
        <family val="2"/>
      </rPr>
      <t xml:space="preserve">
</t>
    </r>
  </si>
  <si>
    <r>
      <t xml:space="preserve">
employee's selection of coverage.   
</t>
    </r>
    <r>
      <rPr>
        <b/>
        <sz val="11"/>
        <color indexed="10"/>
        <rFont val="Arial"/>
        <family val="2"/>
      </rPr>
      <t>ZTT0CABSAL/ZTT000CSAL</t>
    </r>
    <r>
      <rPr>
        <sz val="9"/>
        <rFont val="Arial"/>
        <family val="2"/>
      </rPr>
      <t xml:space="preserve">
</t>
    </r>
  </si>
  <si>
    <t xml:space="preserve">C – employee only
</t>
  </si>
  <si>
    <r>
      <t xml:space="preserve">
Employee's selection of coverage. 
</t>
    </r>
    <r>
      <rPr>
        <b/>
        <sz val="11"/>
        <color rgb="FFFF0000"/>
        <rFont val="Arial"/>
        <family val="2"/>
      </rPr>
      <t>BTA00SPLRK</t>
    </r>
    <r>
      <rPr>
        <sz val="9"/>
        <rFont val="Arial"/>
        <family val="2"/>
      </rPr>
      <t xml:space="preserve">
</t>
    </r>
  </si>
  <si>
    <t>Special Risk Vol AD&amp;D - Spouse</t>
  </si>
  <si>
    <r>
      <t xml:space="preserve">
Employee's selection of coverage. 
</t>
    </r>
    <r>
      <rPr>
        <b/>
        <sz val="11"/>
        <color rgb="FFFF0000"/>
        <rFont val="Arial"/>
        <family val="2"/>
      </rPr>
      <t>BTA00SPSRK</t>
    </r>
    <r>
      <rPr>
        <sz val="9"/>
        <rFont val="Arial"/>
        <family val="2"/>
      </rPr>
      <t xml:space="preserve">
</t>
    </r>
  </si>
  <si>
    <t xml:space="preserve">Special Risk Vol AD&amp;D - Dependent </t>
  </si>
  <si>
    <r>
      <t>Value:</t>
    </r>
    <r>
      <rPr>
        <sz val="11"/>
        <color indexed="10"/>
        <rFont val="Arial"/>
        <family val="2"/>
      </rPr>
      <t xml:space="preserve"> </t>
    </r>
    <r>
      <rPr>
        <b/>
        <sz val="11"/>
        <color indexed="10"/>
        <rFont val="Arial"/>
        <family val="2"/>
      </rPr>
      <t>8</t>
    </r>
  </si>
  <si>
    <r>
      <t xml:space="preserve">
Employee's selection of coverage. 
</t>
    </r>
    <r>
      <rPr>
        <b/>
        <sz val="11"/>
        <color rgb="FFFF0000"/>
        <rFont val="Arial"/>
        <family val="2"/>
      </rPr>
      <t>BTA00DPSRK</t>
    </r>
    <r>
      <rPr>
        <sz val="9"/>
        <rFont val="Arial"/>
        <family val="2"/>
      </rPr>
      <t xml:space="preserve">
</t>
    </r>
  </si>
  <si>
    <r>
      <t>Value:</t>
    </r>
    <r>
      <rPr>
        <sz val="11"/>
        <color indexed="10"/>
        <rFont val="Arial"/>
        <family val="2"/>
      </rPr>
      <t xml:space="preserve"> </t>
    </r>
    <r>
      <rPr>
        <b/>
        <sz val="11"/>
        <color indexed="10"/>
        <rFont val="Arial"/>
        <family val="2"/>
      </rPr>
      <t>9</t>
    </r>
  </si>
  <si>
    <t>POPULATE Category position</t>
  </si>
  <si>
    <r>
      <t xml:space="preserve">G000XXXX - </t>
    </r>
    <r>
      <rPr>
        <b/>
        <sz val="12"/>
        <color rgb="FFFF0000"/>
        <rFont val="Arial"/>
        <family val="2"/>
      </rPr>
      <t>information not known at this time</t>
    </r>
  </si>
  <si>
    <t>Note: Please send Alpha/Numeric ID in this field only</t>
  </si>
  <si>
    <t>Note: Please send Alpha/Numeric description in this field only</t>
  </si>
  <si>
    <r>
      <t xml:space="preserve">
Effective date of the employee’s relationship to the salary compensation effective date or the effective date of this plan with Mutual of Omaha .  Which ever is greater (more current). .   Format: YYYYMMDD
For new employees this date will follow the exact same rules as the employee Effective Date above in position 317.  Date MUSTchange as salary value in position 484 changes. 
</t>
    </r>
    <r>
      <rPr>
        <b/>
        <sz val="9"/>
        <color rgb="FFFF0000"/>
        <rFont val="Arial"/>
        <family val="2"/>
      </rPr>
      <t>Example: Hire Date 06/01/2016, Group Eff w/MofO 01/01/2017, SEND 01/01/2017  employee salary change 07/01/2017, SEND 07/01/2017 changing Salary Amount
Note: Salary Update required annually.</t>
    </r>
    <r>
      <rPr>
        <sz val="9"/>
        <rFont val="Arial"/>
        <family val="2"/>
      </rPr>
      <t xml:space="preserve">
</t>
    </r>
  </si>
  <si>
    <r>
      <t xml:space="preserve">
For new employees this date will follow the exact same rules as the employee Effective Date above in position 317.  Date MUST change when Class ID in position 616 changes.
</t>
    </r>
    <r>
      <rPr>
        <b/>
        <sz val="9"/>
        <color rgb="FFFF0000"/>
        <rFont val="Arial"/>
        <family val="2"/>
      </rPr>
      <t xml:space="preserve">
Example: Hire Date 06/01/2009 in Class A001, Group Eff w/MofO 01/01/2017, SEND 01/01/2017 employee switches to Class A002 09/01/2017, SEND 09/01/2017 changing Class ID
Example: Hire Date 06/01/2015 in Class A002, Group Eff w/MofO 01/01/2017, SEND 01/'01/2017 employee switches to Class A001 07/01/2017, SEND 07/01/2017 changing Class ID</t>
    </r>
    <r>
      <rPr>
        <sz val="9"/>
        <rFont val="Arial"/>
        <family val="2"/>
      </rPr>
      <t xml:space="preserve">
</t>
    </r>
  </si>
  <si>
    <r>
      <t xml:space="preserve">
Effective date of the employee's relationship to the class ID or the effective date of this plan with Mutual of Omaha.  Which ever is greater.  Format:  YYYYMMDD  As the smoker status changes, the effective date must also change.
</t>
    </r>
    <r>
      <rPr>
        <sz val="9"/>
        <color rgb="FFFF0000"/>
        <rFont val="Arial"/>
        <family val="2"/>
      </rPr>
      <t>Example:  Hire Date 06/01/2015 with Smoker indicator, Group eff w/MofO 01/01/2017. SEND  01/01/2017
Employee switches Smoker status 07/01/2017; SEND 07/01/2017 changing smoker Indicator in position 628</t>
    </r>
    <r>
      <rPr>
        <sz val="9"/>
        <rFont val="Arial"/>
        <family val="2"/>
      </rPr>
      <t xml:space="preserve">
</t>
    </r>
  </si>
  <si>
    <r>
      <t>Waiting Period:  Elapsed time before employee can be eligible for benefits (</t>
    </r>
    <r>
      <rPr>
        <b/>
        <sz val="9"/>
        <color indexed="10"/>
        <rFont val="Arial"/>
        <family val="2"/>
      </rPr>
      <t>60 days</t>
    </r>
    <r>
      <rPr>
        <b/>
        <sz val="9"/>
        <rFont val="Arial"/>
        <family val="2"/>
      </rPr>
      <t xml:space="preserve">) and rule on when the benefits start ( </t>
    </r>
    <r>
      <rPr>
        <b/>
        <sz val="9"/>
        <color rgb="FFFF0000"/>
        <rFont val="Arial"/>
        <family val="2"/>
      </rPr>
      <t>On First Day of the month</t>
    </r>
    <r>
      <rPr>
        <b/>
        <sz val="9"/>
        <rFont val="Arial"/>
        <family val="2"/>
      </rPr>
      <t xml:space="preserve">.).  </t>
    </r>
  </si>
  <si>
    <r>
      <t xml:space="preserve">
Example: </t>
    </r>
    <r>
      <rPr>
        <b/>
        <sz val="9"/>
        <color rgb="FFFF0000"/>
        <rFont val="Arial"/>
        <family val="2"/>
      </rPr>
      <t>60 Days; Effective First Day of Policy Month</t>
    </r>
    <r>
      <rPr>
        <b/>
        <sz val="9"/>
        <rFont val="Arial"/>
        <family val="2"/>
      </rPr>
      <t xml:space="preserve">: Hired 05/15/2017;  Effective date 08/01/2017
</t>
    </r>
  </si>
  <si>
    <r>
      <t xml:space="preserve">Termination Rules: </t>
    </r>
    <r>
      <rPr>
        <sz val="9"/>
        <rFont val="Arial"/>
        <family val="2"/>
      </rPr>
      <t xml:space="preserve"> Termination Effective </t>
    </r>
    <r>
      <rPr>
        <b/>
        <sz val="9"/>
        <rFont val="Arial"/>
        <family val="2"/>
      </rPr>
      <t xml:space="preserve">  </t>
    </r>
    <r>
      <rPr>
        <b/>
        <sz val="9"/>
        <color rgb="FFFF0000"/>
        <rFont val="Arial"/>
        <family val="2"/>
      </rPr>
      <t>On the Last Day of the month</t>
    </r>
    <r>
      <rPr>
        <b/>
        <sz val="9"/>
        <rFont val="Arial"/>
        <family val="2"/>
      </rPr>
      <t>.</t>
    </r>
    <r>
      <rPr>
        <sz val="9"/>
        <rFont val="Arial"/>
        <family val="2"/>
      </rPr>
      <t xml:space="preserve">.  </t>
    </r>
  </si>
  <si>
    <r>
      <t xml:space="preserve">
Note - Termination Date must be Last Day of Coverage PLUS ONE DAY.
Example:  </t>
    </r>
    <r>
      <rPr>
        <b/>
        <sz val="9"/>
        <color rgb="FFFF0000"/>
        <rFont val="Arial"/>
        <family val="2"/>
      </rPr>
      <t>On the last day</t>
    </r>
    <r>
      <rPr>
        <b/>
        <sz val="9"/>
        <rFont val="Arial"/>
        <family val="2"/>
      </rPr>
      <t xml:space="preserve">:  Last Day Worked 07/15/2017; Termination Date 08/01/2017
</t>
    </r>
  </si>
  <si>
    <t>Information Unknown at this time</t>
  </si>
  <si>
    <r>
      <t xml:space="preserve">LTL00NCSAL </t>
    </r>
    <r>
      <rPr>
        <sz val="11"/>
        <rFont val="Arial"/>
        <family val="2"/>
      </rPr>
      <t>(Class A001) or</t>
    </r>
    <r>
      <rPr>
        <b/>
        <sz val="11"/>
        <color rgb="FFFF0000"/>
        <rFont val="Arial"/>
        <family val="2"/>
      </rPr>
      <t xml:space="preserve"> LTL0NCFLAT </t>
    </r>
    <r>
      <rPr>
        <sz val="11"/>
        <rFont val="Arial"/>
        <family val="2"/>
      </rPr>
      <t>(Class A002)</t>
    </r>
  </si>
  <si>
    <r>
      <rPr>
        <b/>
        <sz val="11"/>
        <color rgb="FFFF0000"/>
        <rFont val="Arial"/>
        <family val="2"/>
      </rPr>
      <t>ATA00NCSAL</t>
    </r>
    <r>
      <rPr>
        <sz val="11"/>
        <rFont val="Arial"/>
        <family val="2"/>
      </rPr>
      <t xml:space="preserve"> (Class A001) or</t>
    </r>
    <r>
      <rPr>
        <b/>
        <sz val="11"/>
        <color rgb="FFFF0000"/>
        <rFont val="Arial"/>
        <family val="2"/>
      </rPr>
      <t xml:space="preserve"> / ATA0NCFLAT </t>
    </r>
    <r>
      <rPr>
        <sz val="11"/>
        <rFont val="Arial"/>
        <family val="2"/>
      </rPr>
      <t>(Class A002)</t>
    </r>
  </si>
  <si>
    <t>Relationship of Insured.  Values: M = employee/employee / H = Husband / W = Wife / S = Son / D = Daughter / I = Incapacitated Dependent (In case of "I," Documentation must be submitted to Mutual of Omaha).</t>
  </si>
  <si>
    <r>
      <rPr>
        <b/>
        <sz val="9"/>
        <color rgb="FFFF0000"/>
        <rFont val="Arial"/>
        <family val="2"/>
      </rPr>
      <t xml:space="preserve"> A002</t>
    </r>
    <r>
      <rPr>
        <b/>
        <sz val="9"/>
        <rFont val="Arial"/>
        <family val="2"/>
      </rPr>
      <t xml:space="preserve"> </t>
    </r>
    <r>
      <rPr>
        <sz val="9"/>
        <rFont val="Arial"/>
        <family val="2"/>
      </rPr>
      <t>= Unknown at this time</t>
    </r>
  </si>
  <si>
    <r>
      <rPr>
        <b/>
        <sz val="9"/>
        <color rgb="FFFF0000"/>
        <rFont val="Arial"/>
        <family val="2"/>
      </rPr>
      <t xml:space="preserve"> A001</t>
    </r>
    <r>
      <rPr>
        <b/>
        <sz val="9"/>
        <rFont val="Arial"/>
        <family val="2"/>
      </rPr>
      <t xml:space="preserve"> </t>
    </r>
    <r>
      <rPr>
        <sz val="9"/>
        <rFont val="Arial"/>
        <family val="2"/>
      </rPr>
      <t>= Unknown at this time - there can be one or multiple classes</t>
    </r>
  </si>
  <si>
    <r>
      <t>Business Systems Analyst:  Joseph Revense
Telephone Number: 402-351-4733
Email:  grpins.ee@mutualofomaha.com</t>
    </r>
    <r>
      <rPr>
        <sz val="8"/>
        <color indexed="10"/>
        <rFont val="Arial"/>
        <family val="2"/>
      </rPr>
      <t/>
    </r>
  </si>
  <si>
    <r>
      <t xml:space="preserve">
This field is the date of hire (Full Time Effective date or date employee becomes eligible for coverage) or the effective date of the group with  Mutual of Omaha, whichever is greater (more current). Format: YYYYMMDD.
</t>
    </r>
    <r>
      <rPr>
        <b/>
        <sz val="9"/>
        <color rgb="FFFF0000"/>
        <rFont val="Arial"/>
        <family val="2"/>
      </rPr>
      <t>Example:  Hire Date:  06/01/2010, Group Effective with MofO 05/01/2017, SEND 05/01/2017
Example:  Hire Date:  06/01/2017, Group Effective with MofO 05/01/2017, SEND 06/01/2017</t>
    </r>
    <r>
      <rPr>
        <sz val="9"/>
        <rFont val="Arial"/>
        <family val="2"/>
      </rPr>
      <t xml:space="preserve">
</t>
    </r>
  </si>
  <si>
    <r>
      <t xml:space="preserve">
Effective date of the employee’s relationship to the subgroup ID or the effective date of this plan with  Mutual of Omaha, whichever is greater(more current).  Format: YYYYMMDD.
For new employees this date will  follow the exact same rules as the employee Effective Date above in position 317.   Date MUST change when Subgroup ID in position 401 changes.
</t>
    </r>
    <r>
      <rPr>
        <b/>
        <sz val="9"/>
        <color rgb="FFFF0000"/>
        <rFont val="Arial"/>
        <family val="2"/>
      </rPr>
      <t>Example: Hire Date 06/01/2009 in Subgroup 0001, Group Eff w/MofO 05/01/2017, SEND 05/01/2017 employee switches to Subgroup 0002 09/01/2017, SEND 09/01/2017 changing Class ID
Example: Hire Date 06/01/2017 in Subgroup 0002, Group Eff w/MofO 05/01/2017, SEND 06/01/2017 employee switches to Subgroup 0001 07/01/2017, SEND 07/01/2017 changing Class ID</t>
    </r>
    <r>
      <rPr>
        <sz val="9"/>
        <rFont val="Arial"/>
        <family val="2"/>
      </rPr>
      <t xml:space="preserve">
</t>
    </r>
  </si>
  <si>
    <r>
      <t xml:space="preserve">
Effective date of the employee's relationship to the Location or the effective date of this plan with Mutual of Omaha. Which ever is greater.  Format:  YYYYMMDD
For new employees this date will follow the exact same rules as the employee Effective Date above in position 317.  Date MUST change when Location ID in position 443 changes.
Example:
</t>
    </r>
    <r>
      <rPr>
        <b/>
        <sz val="9"/>
        <color rgb="FFFF0000"/>
        <rFont val="Arial"/>
        <family val="2"/>
      </rPr>
      <t xml:space="preserve">Hire Date 06/01/2014 with Location Code, Group Eff w/MofO 05/01/2017, SEND 05/01/2017. If employee then switches Location Codes 07/01/2017, SEND 07/01/2017 changing Location Code in position 443. </t>
    </r>
    <r>
      <rPr>
        <sz val="9"/>
        <rFont val="Arial"/>
        <family val="2"/>
      </rPr>
      <t xml:space="preserve">
</t>
    </r>
  </si>
  <si>
    <r>
      <rPr>
        <b/>
        <sz val="9"/>
        <color rgb="FFFF0000"/>
        <rFont val="Arial"/>
        <family val="2"/>
      </rPr>
      <t>001</t>
    </r>
    <r>
      <rPr>
        <sz val="9"/>
        <rFont val="Arial"/>
        <family val="2"/>
      </rPr>
      <t xml:space="preserve"> = Location #1</t>
    </r>
  </si>
  <si>
    <r>
      <rPr>
        <b/>
        <sz val="9"/>
        <color rgb="FFFF0000"/>
        <rFont val="Arial"/>
        <family val="2"/>
      </rPr>
      <t>004</t>
    </r>
    <r>
      <rPr>
        <sz val="9"/>
        <rFont val="Arial"/>
        <family val="2"/>
      </rPr>
      <t xml:space="preserve"> = Location #4</t>
    </r>
  </si>
  <si>
    <r>
      <rPr>
        <b/>
        <sz val="9"/>
        <color rgb="FFFF0000"/>
        <rFont val="Arial"/>
        <family val="2"/>
      </rPr>
      <t>003</t>
    </r>
    <r>
      <rPr>
        <sz val="9"/>
        <rFont val="Arial"/>
        <family val="2"/>
      </rPr>
      <t xml:space="preserve"> = Location #3</t>
    </r>
  </si>
  <si>
    <r>
      <rPr>
        <b/>
        <sz val="9"/>
        <color rgb="FFFF0000"/>
        <rFont val="Arial"/>
        <family val="2"/>
      </rPr>
      <t>002</t>
    </r>
    <r>
      <rPr>
        <sz val="9"/>
        <rFont val="Arial"/>
        <family val="2"/>
      </rPr>
      <t xml:space="preserve"> = Location #2</t>
    </r>
  </si>
  <si>
    <t>Location #1</t>
  </si>
  <si>
    <t>Location #2</t>
  </si>
  <si>
    <t>Location #3</t>
  </si>
  <si>
    <t>Location #4</t>
  </si>
  <si>
    <r>
      <rPr>
        <b/>
        <sz val="11"/>
        <color rgb="FFFF0000"/>
        <rFont val="Arial"/>
        <family val="2"/>
      </rPr>
      <t>0001</t>
    </r>
    <r>
      <rPr>
        <b/>
        <sz val="9"/>
        <rFont val="Arial"/>
        <family val="2"/>
      </rPr>
      <t xml:space="preserve"> </t>
    </r>
    <r>
      <rPr>
        <sz val="9"/>
        <rFont val="Arial"/>
        <family val="2"/>
      </rPr>
      <t>= Name of company/division #1</t>
    </r>
  </si>
  <si>
    <r>
      <rPr>
        <b/>
        <sz val="11"/>
        <color rgb="FFFF0000"/>
        <rFont val="Arial"/>
        <family val="2"/>
      </rPr>
      <t>0003</t>
    </r>
    <r>
      <rPr>
        <b/>
        <sz val="9"/>
        <rFont val="Arial"/>
        <family val="2"/>
      </rPr>
      <t xml:space="preserve"> </t>
    </r>
    <r>
      <rPr>
        <sz val="9"/>
        <rFont val="Arial"/>
        <family val="2"/>
      </rPr>
      <t>= Name of company/division #3</t>
    </r>
  </si>
  <si>
    <r>
      <rPr>
        <b/>
        <sz val="11"/>
        <color rgb="FFFF0000"/>
        <rFont val="Arial"/>
        <family val="2"/>
      </rPr>
      <t>0002</t>
    </r>
    <r>
      <rPr>
        <b/>
        <sz val="9"/>
        <rFont val="Arial"/>
        <family val="2"/>
      </rPr>
      <t xml:space="preserve"> </t>
    </r>
    <r>
      <rPr>
        <sz val="9"/>
        <rFont val="Arial"/>
        <family val="2"/>
      </rPr>
      <t>= Name of company/division #2</t>
    </r>
  </si>
  <si>
    <r>
      <t xml:space="preserve">Employee Record Values:   
</t>
    </r>
    <r>
      <rPr>
        <b/>
        <sz val="9"/>
        <rFont val="Arial"/>
        <family val="2"/>
      </rPr>
      <t>EN</t>
    </r>
    <r>
      <rPr>
        <sz val="9"/>
        <rFont val="Arial"/>
        <family val="2"/>
      </rPr>
      <t xml:space="preserve"> – employee election or change of coverage
</t>
    </r>
    <r>
      <rPr>
        <b/>
        <sz val="9"/>
        <rFont val="Arial"/>
        <family val="2"/>
      </rPr>
      <t>TM</t>
    </r>
    <r>
      <rPr>
        <sz val="9"/>
        <rFont val="Arial"/>
        <family val="2"/>
      </rPr>
      <t xml:space="preserve"> – employee record termination of coverage.  </t>
    </r>
  </si>
</sst>
</file>

<file path=xl/styles.xml><?xml version="1.0" encoding="utf-8"?>
<styleSheet xmlns="http://schemas.openxmlformats.org/spreadsheetml/2006/main" xmlns:mc="http://schemas.openxmlformats.org/markup-compatibility/2006" xmlns:x14ac="http://schemas.microsoft.com/office/spreadsheetml/2009/9/ac" mc:Ignorable="x14ac">
  <fonts count="44" x14ac:knownFonts="1">
    <font>
      <sz val="10"/>
      <name val="Arial"/>
    </font>
    <font>
      <sz val="8"/>
      <name val="Arial"/>
      <family val="2"/>
    </font>
    <font>
      <sz val="8"/>
      <color indexed="10"/>
      <name val="Arial"/>
      <family val="2"/>
    </font>
    <font>
      <b/>
      <sz val="10"/>
      <color indexed="10"/>
      <name val="Arial"/>
      <family val="2"/>
    </font>
    <font>
      <b/>
      <sz val="10"/>
      <name val="Arial"/>
      <family val="2"/>
    </font>
    <font>
      <b/>
      <sz val="9"/>
      <name val="Arial"/>
      <family val="2"/>
    </font>
    <font>
      <b/>
      <u/>
      <sz val="14"/>
      <color indexed="10"/>
      <name val="Arial"/>
      <family val="2"/>
    </font>
    <font>
      <sz val="10"/>
      <name val="Arial"/>
      <family val="2"/>
    </font>
    <font>
      <b/>
      <sz val="11"/>
      <name val="Arial"/>
      <family val="2"/>
    </font>
    <font>
      <sz val="10"/>
      <color indexed="10"/>
      <name val="Arial"/>
      <family val="2"/>
    </font>
    <font>
      <sz val="9"/>
      <name val="Arial"/>
      <family val="2"/>
    </font>
    <font>
      <b/>
      <sz val="9"/>
      <color indexed="10"/>
      <name val="Arial"/>
      <family val="2"/>
    </font>
    <font>
      <b/>
      <u/>
      <sz val="9"/>
      <color indexed="10"/>
      <name val="Arial"/>
      <family val="2"/>
    </font>
    <font>
      <u/>
      <sz val="9"/>
      <name val="Arial"/>
      <family val="2"/>
    </font>
    <font>
      <b/>
      <sz val="12"/>
      <color indexed="10"/>
      <name val="Arial"/>
      <family val="2"/>
    </font>
    <font>
      <b/>
      <sz val="14"/>
      <color indexed="16"/>
      <name val="Arial"/>
      <family val="2"/>
    </font>
    <font>
      <sz val="9"/>
      <color indexed="9"/>
      <name val="Arial"/>
      <family val="2"/>
    </font>
    <font>
      <b/>
      <sz val="9"/>
      <color indexed="9"/>
      <name val="Arial"/>
      <family val="2"/>
    </font>
    <font>
      <b/>
      <sz val="12"/>
      <name val="Arial"/>
      <family val="2"/>
    </font>
    <font>
      <sz val="12"/>
      <name val="Arial"/>
      <family val="2"/>
    </font>
    <font>
      <b/>
      <sz val="14"/>
      <color indexed="10"/>
      <name val="Arial"/>
      <family val="2"/>
    </font>
    <font>
      <sz val="14"/>
      <name val="Arial"/>
      <family val="2"/>
    </font>
    <font>
      <b/>
      <sz val="11"/>
      <color indexed="10"/>
      <name val="Arial"/>
      <family val="2"/>
    </font>
    <font>
      <sz val="11"/>
      <color indexed="10"/>
      <name val="Arial"/>
      <family val="2"/>
    </font>
    <font>
      <sz val="9"/>
      <color indexed="10"/>
      <name val="Arial"/>
      <family val="2"/>
    </font>
    <font>
      <b/>
      <sz val="10"/>
      <color indexed="10"/>
      <name val="Arial"/>
      <family val="2"/>
    </font>
    <font>
      <sz val="10"/>
      <color indexed="8"/>
      <name val="Arial"/>
      <family val="2"/>
    </font>
    <font>
      <b/>
      <sz val="10"/>
      <color indexed="8"/>
      <name val="Arial"/>
      <family val="2"/>
    </font>
    <font>
      <b/>
      <sz val="9"/>
      <color indexed="10"/>
      <name val="Arial"/>
      <family val="2"/>
    </font>
    <font>
      <b/>
      <sz val="9"/>
      <color indexed="8"/>
      <name val="Arial"/>
      <family val="2"/>
    </font>
    <font>
      <b/>
      <sz val="9"/>
      <color indexed="10"/>
      <name val="Arial"/>
      <family val="2"/>
    </font>
    <font>
      <sz val="9"/>
      <color indexed="8"/>
      <name val="Arial"/>
      <family val="2"/>
    </font>
    <font>
      <b/>
      <sz val="11"/>
      <color indexed="8"/>
      <name val="Arial"/>
      <family val="2"/>
    </font>
    <font>
      <b/>
      <sz val="9"/>
      <color indexed="14"/>
      <name val="Arial"/>
      <family val="2"/>
    </font>
    <font>
      <b/>
      <sz val="9"/>
      <color indexed="48"/>
      <name val="Arial"/>
      <family val="2"/>
    </font>
    <font>
      <sz val="9"/>
      <color rgb="FFFF0000"/>
      <name val="Arial"/>
      <family val="2"/>
    </font>
    <font>
      <b/>
      <i/>
      <sz val="11"/>
      <color rgb="FFFF0000"/>
      <name val="Arial"/>
      <family val="2"/>
    </font>
    <font>
      <b/>
      <i/>
      <sz val="12"/>
      <color rgb="FFFF0000"/>
      <name val="Arial"/>
      <family val="2"/>
    </font>
    <font>
      <b/>
      <sz val="10"/>
      <color theme="7" tint="-0.249977111117893"/>
      <name val="Arial"/>
      <family val="2"/>
    </font>
    <font>
      <b/>
      <sz val="11"/>
      <color rgb="FFFF0000"/>
      <name val="Arial"/>
      <family val="2"/>
    </font>
    <font>
      <b/>
      <sz val="12"/>
      <color rgb="FFFF0000"/>
      <name val="Arial"/>
      <family val="2"/>
    </font>
    <font>
      <b/>
      <sz val="9"/>
      <color rgb="FFFF0000"/>
      <name val="Arial"/>
      <family val="2"/>
    </font>
    <font>
      <sz val="11"/>
      <color rgb="FFFF0000"/>
      <name val="Arial"/>
      <family val="2"/>
    </font>
    <font>
      <sz val="11"/>
      <name val="Arial"/>
      <family val="2"/>
    </font>
  </fonts>
  <fills count="16">
    <fill>
      <patternFill patternType="none"/>
    </fill>
    <fill>
      <patternFill patternType="gray125"/>
    </fill>
    <fill>
      <patternFill patternType="solid">
        <fgColor indexed="8"/>
        <bgColor indexed="64"/>
      </patternFill>
    </fill>
    <fill>
      <patternFill patternType="solid">
        <fgColor indexed="55"/>
        <bgColor indexed="64"/>
      </patternFill>
    </fill>
    <fill>
      <patternFill patternType="solid">
        <fgColor indexed="13"/>
        <bgColor indexed="64"/>
      </patternFill>
    </fill>
    <fill>
      <patternFill patternType="solid">
        <fgColor indexed="15"/>
        <bgColor indexed="64"/>
      </patternFill>
    </fill>
    <fill>
      <patternFill patternType="solid">
        <fgColor indexed="22"/>
        <bgColor indexed="64"/>
      </patternFill>
    </fill>
    <fill>
      <patternFill patternType="solid">
        <fgColor indexed="9"/>
        <bgColor indexed="64"/>
      </patternFill>
    </fill>
    <fill>
      <patternFill patternType="solid">
        <fgColor indexed="23"/>
        <bgColor indexed="64"/>
      </patternFill>
    </fill>
    <fill>
      <patternFill patternType="solid">
        <fgColor indexed="43"/>
        <bgColor indexed="64"/>
      </patternFill>
    </fill>
    <fill>
      <patternFill patternType="solid">
        <fgColor theme="7"/>
        <bgColor indexed="64"/>
      </patternFill>
    </fill>
    <fill>
      <patternFill patternType="solid">
        <fgColor theme="9" tint="-0.249977111117893"/>
        <bgColor indexed="64"/>
      </patternFill>
    </fill>
    <fill>
      <patternFill patternType="solid">
        <fgColor theme="5" tint="0.59999389629810485"/>
        <bgColor indexed="64"/>
      </patternFill>
    </fill>
    <fill>
      <patternFill patternType="solid">
        <fgColor rgb="FFFFFFCC"/>
        <bgColor indexed="64"/>
      </patternFill>
    </fill>
    <fill>
      <patternFill patternType="solid">
        <fgColor rgb="FFCCFFFF"/>
        <bgColor indexed="64"/>
      </patternFill>
    </fill>
    <fill>
      <patternFill patternType="solid">
        <fgColor theme="7"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
    <xf numFmtId="0" fontId="0" fillId="0" borderId="0"/>
    <xf numFmtId="0" fontId="7" fillId="0" borderId="0"/>
  </cellStyleXfs>
  <cellXfs count="151">
    <xf numFmtId="0" fontId="0" fillId="0" borderId="0" xfId="0"/>
    <xf numFmtId="0" fontId="10" fillId="0" borderId="0" xfId="0" applyFont="1" applyFill="1" applyAlignment="1">
      <alignment wrapText="1"/>
    </xf>
    <xf numFmtId="0" fontId="10" fillId="0" borderId="0" xfId="0" applyFont="1" applyAlignment="1">
      <alignment wrapText="1"/>
    </xf>
    <xf numFmtId="0" fontId="10" fillId="0" borderId="1" xfId="0"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wrapText="1"/>
    </xf>
    <xf numFmtId="0" fontId="10" fillId="0" borderId="1" xfId="0" applyFont="1" applyFill="1" applyBorder="1" applyAlignment="1">
      <alignment horizontal="left" vertical="center" wrapText="1"/>
    </xf>
    <xf numFmtId="0" fontId="10" fillId="0" borderId="1" xfId="0" applyFont="1" applyFill="1" applyBorder="1" applyAlignment="1">
      <alignment horizontal="center" vertical="center" wrapText="1"/>
    </xf>
    <xf numFmtId="0" fontId="5" fillId="0" borderId="0" xfId="0" applyFont="1" applyFill="1" applyAlignment="1">
      <alignment horizontal="center" vertical="center" wrapText="1"/>
    </xf>
    <xf numFmtId="0" fontId="16" fillId="2" borderId="1" xfId="0" applyFont="1" applyFill="1" applyBorder="1" applyAlignment="1">
      <alignment horizontal="left" vertical="center" wrapText="1"/>
    </xf>
    <xf numFmtId="0" fontId="16"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5" fillId="0" borderId="0" xfId="0" applyFont="1" applyAlignment="1">
      <alignment wrapText="1"/>
    </xf>
    <xf numFmtId="0" fontId="0" fillId="0" borderId="0" xfId="0" applyFill="1"/>
    <xf numFmtId="0" fontId="7" fillId="0" borderId="2" xfId="0" applyFont="1" applyFill="1" applyBorder="1" applyAlignment="1">
      <alignment wrapText="1"/>
    </xf>
    <xf numFmtId="0" fontId="16" fillId="3" borderId="1" xfId="0" applyFont="1" applyFill="1" applyBorder="1" applyAlignment="1">
      <alignment horizontal="left" vertical="center" wrapText="1"/>
    </xf>
    <xf numFmtId="0" fontId="16" fillId="3" borderId="1" xfId="0" applyFont="1" applyFill="1" applyBorder="1" applyAlignment="1">
      <alignment horizontal="center" vertical="center" wrapText="1"/>
    </xf>
    <xf numFmtId="0" fontId="24" fillId="3" borderId="1" xfId="0" applyFont="1" applyFill="1" applyBorder="1" applyAlignment="1">
      <alignment horizontal="left" vertical="center" wrapText="1"/>
    </xf>
    <xf numFmtId="0" fontId="2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18" fillId="5" borderId="2" xfId="0" applyFont="1" applyFill="1" applyBorder="1" applyAlignment="1">
      <alignment wrapText="1"/>
    </xf>
    <xf numFmtId="0" fontId="10" fillId="3" borderId="1" xfId="1" applyFont="1" applyFill="1" applyBorder="1" applyAlignment="1">
      <alignment horizontal="left" vertical="center" wrapText="1"/>
    </xf>
    <xf numFmtId="0" fontId="10" fillId="3" borderId="1" xfId="1" applyFont="1" applyFill="1" applyBorder="1" applyAlignment="1">
      <alignment horizontal="center" vertical="center" wrapText="1"/>
    </xf>
    <xf numFmtId="0" fontId="1"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6" borderId="2" xfId="0" applyFont="1" applyFill="1" applyBorder="1" applyAlignment="1">
      <alignment horizontal="center" vertical="center" wrapText="1"/>
    </xf>
    <xf numFmtId="0" fontId="10" fillId="0" borderId="3" xfId="0" applyFont="1" applyBorder="1" applyAlignment="1">
      <alignment horizontal="left" vertical="center" wrapText="1"/>
    </xf>
    <xf numFmtId="0" fontId="5" fillId="0" borderId="2" xfId="0" applyFont="1" applyBorder="1" applyAlignment="1">
      <alignment horizontal="center" vertical="center" wrapText="1"/>
    </xf>
    <xf numFmtId="0" fontId="16" fillId="2" borderId="3" xfId="0" applyFont="1" applyFill="1" applyBorder="1" applyAlignment="1">
      <alignment horizontal="left" vertical="center" wrapText="1"/>
    </xf>
    <xf numFmtId="0" fontId="17" fillId="2" borderId="2" xfId="0" applyFont="1" applyFill="1" applyBorder="1" applyAlignment="1">
      <alignment wrapText="1"/>
    </xf>
    <xf numFmtId="0" fontId="14" fillId="4" borderId="2" xfId="0" applyFont="1" applyFill="1" applyBorder="1" applyAlignment="1">
      <alignment wrapText="1"/>
    </xf>
    <xf numFmtId="0" fontId="10" fillId="0" borderId="2" xfId="0" applyFont="1" applyBorder="1" applyAlignment="1">
      <alignment wrapText="1"/>
    </xf>
    <xf numFmtId="0" fontId="10" fillId="0" borderId="3" xfId="0" applyFont="1" applyFill="1" applyBorder="1" applyAlignment="1">
      <alignment horizontal="left" vertical="center" wrapText="1"/>
    </xf>
    <xf numFmtId="0" fontId="10" fillId="0" borderId="2" xfId="0" applyFont="1" applyFill="1" applyBorder="1" applyAlignment="1">
      <alignment wrapText="1"/>
    </xf>
    <xf numFmtId="0" fontId="5" fillId="0" borderId="2" xfId="0" applyFont="1" applyFill="1" applyBorder="1" applyAlignment="1">
      <alignment wrapText="1"/>
    </xf>
    <xf numFmtId="0" fontId="16" fillId="3" borderId="3" xfId="0" applyFont="1" applyFill="1" applyBorder="1" applyAlignment="1">
      <alignment horizontal="left" vertical="center" wrapText="1"/>
    </xf>
    <xf numFmtId="0" fontId="25" fillId="3" borderId="2" xfId="0" applyFont="1" applyFill="1" applyBorder="1" applyAlignment="1">
      <alignment wrapText="1"/>
    </xf>
    <xf numFmtId="0" fontId="24" fillId="3" borderId="3" xfId="0" applyFont="1" applyFill="1" applyBorder="1" applyAlignment="1">
      <alignment horizontal="left" vertical="center" wrapText="1"/>
    </xf>
    <xf numFmtId="0" fontId="5" fillId="0" borderId="2" xfId="0" applyFont="1" applyFill="1" applyBorder="1" applyAlignment="1">
      <alignment vertical="center" wrapText="1"/>
    </xf>
    <xf numFmtId="0" fontId="13" fillId="0" borderId="2" xfId="0" applyFont="1" applyFill="1" applyBorder="1" applyAlignment="1">
      <alignment horizontal="left" vertical="center" wrapText="1"/>
    </xf>
    <xf numFmtId="0" fontId="16" fillId="3" borderId="2" xfId="0" applyFont="1" applyFill="1" applyBorder="1" applyAlignment="1">
      <alignment wrapText="1"/>
    </xf>
    <xf numFmtId="0" fontId="5" fillId="0" borderId="2" xfId="0" applyFont="1" applyBorder="1" applyAlignment="1">
      <alignment vertical="center" wrapText="1"/>
    </xf>
    <xf numFmtId="0" fontId="10" fillId="0" borderId="2" xfId="0" applyFont="1" applyFill="1" applyBorder="1" applyAlignment="1">
      <alignment horizontal="left" vertical="center" wrapText="1"/>
    </xf>
    <xf numFmtId="0" fontId="1" fillId="3" borderId="3" xfId="0" applyFont="1" applyFill="1" applyBorder="1" applyAlignment="1">
      <alignment horizontal="left" vertical="center" wrapText="1"/>
    </xf>
    <xf numFmtId="0" fontId="10" fillId="3" borderId="2" xfId="1" applyFont="1" applyFill="1" applyBorder="1" applyAlignment="1">
      <alignment horizontal="left" vertical="center" wrapText="1"/>
    </xf>
    <xf numFmtId="0" fontId="10" fillId="7" borderId="3"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10" fillId="7" borderId="0" xfId="0" applyFont="1" applyFill="1" applyAlignment="1">
      <alignment wrapText="1"/>
    </xf>
    <xf numFmtId="0" fontId="10" fillId="8" borderId="3" xfId="0" applyFont="1" applyFill="1" applyBorder="1" applyAlignment="1">
      <alignment horizontal="left" vertical="center" wrapText="1"/>
    </xf>
    <xf numFmtId="0" fontId="10" fillId="8" borderId="1" xfId="0" applyFont="1" applyFill="1" applyBorder="1" applyAlignment="1">
      <alignment horizontal="left" vertical="center" wrapText="1"/>
    </xf>
    <xf numFmtId="0" fontId="10" fillId="8" borderId="1" xfId="0" applyFont="1" applyFill="1" applyBorder="1" applyAlignment="1">
      <alignment horizontal="center" vertical="center" wrapText="1"/>
    </xf>
    <xf numFmtId="49" fontId="28" fillId="8" borderId="2" xfId="0" applyNumberFormat="1" applyFont="1" applyFill="1" applyBorder="1" applyAlignment="1">
      <alignment wrapText="1"/>
    </xf>
    <xf numFmtId="0" fontId="10" fillId="3" borderId="3" xfId="0" applyFont="1" applyFill="1" applyBorder="1" applyAlignment="1">
      <alignment horizontal="left" vertical="center" wrapText="1"/>
    </xf>
    <xf numFmtId="0" fontId="10" fillId="3" borderId="1" xfId="0" applyFont="1" applyFill="1" applyBorder="1" applyAlignment="1">
      <alignment horizontal="left" vertical="center" wrapText="1"/>
    </xf>
    <xf numFmtId="0" fontId="10" fillId="3" borderId="1" xfId="0" applyFont="1" applyFill="1" applyBorder="1" applyAlignment="1">
      <alignment horizontal="center" vertical="center" wrapText="1"/>
    </xf>
    <xf numFmtId="0" fontId="10" fillId="3" borderId="2" xfId="0" applyFont="1" applyFill="1" applyBorder="1" applyAlignment="1">
      <alignment wrapText="1"/>
    </xf>
    <xf numFmtId="49" fontId="30" fillId="8" borderId="2" xfId="0" applyNumberFormat="1" applyFont="1" applyFill="1" applyBorder="1" applyAlignment="1">
      <alignment wrapText="1"/>
    </xf>
    <xf numFmtId="0" fontId="24" fillId="7" borderId="3" xfId="0" applyFont="1" applyFill="1" applyBorder="1" applyAlignment="1">
      <alignment horizontal="left" vertical="center" wrapText="1"/>
    </xf>
    <xf numFmtId="0" fontId="24" fillId="7" borderId="1" xfId="0" applyFont="1" applyFill="1" applyBorder="1" applyAlignment="1">
      <alignment horizontal="left" vertical="center" wrapText="1"/>
    </xf>
    <xf numFmtId="0" fontId="24" fillId="7" borderId="1" xfId="0" applyFont="1" applyFill="1" applyBorder="1" applyAlignment="1">
      <alignment horizontal="center" vertical="center" wrapText="1"/>
    </xf>
    <xf numFmtId="0" fontId="5" fillId="7" borderId="0" xfId="0" applyFont="1" applyFill="1" applyAlignment="1">
      <alignment horizontal="center" vertical="center" wrapText="1"/>
    </xf>
    <xf numFmtId="0" fontId="26" fillId="7" borderId="1" xfId="0" applyFont="1" applyFill="1" applyBorder="1" applyAlignment="1">
      <alignment horizontal="left" vertical="center" wrapText="1"/>
    </xf>
    <xf numFmtId="0" fontId="31" fillId="7" borderId="1" xfId="0" applyFont="1" applyFill="1" applyBorder="1" applyAlignment="1">
      <alignment horizontal="center" vertical="center" wrapText="1"/>
    </xf>
    <xf numFmtId="0" fontId="27" fillId="7" borderId="2" xfId="0" applyFont="1" applyFill="1" applyBorder="1" applyAlignment="1">
      <alignment wrapText="1"/>
    </xf>
    <xf numFmtId="0" fontId="31" fillId="3" borderId="1" xfId="0" applyFont="1" applyFill="1" applyBorder="1" applyAlignment="1">
      <alignment horizontal="center" vertical="center" wrapText="1"/>
    </xf>
    <xf numFmtId="0" fontId="27" fillId="3" borderId="2" xfId="0" applyFont="1" applyFill="1" applyBorder="1" applyAlignment="1">
      <alignment wrapText="1"/>
    </xf>
    <xf numFmtId="0" fontId="31" fillId="7" borderId="1" xfId="0" applyFont="1" applyFill="1" applyBorder="1" applyAlignment="1">
      <alignment horizontal="left" vertical="center" wrapText="1"/>
    </xf>
    <xf numFmtId="0" fontId="26" fillId="7" borderId="2" xfId="0" applyFont="1" applyFill="1" applyBorder="1" applyAlignment="1">
      <alignment wrapText="1"/>
    </xf>
    <xf numFmtId="0" fontId="10" fillId="0" borderId="2" xfId="0" applyFont="1" applyBorder="1" applyAlignment="1">
      <alignment vertical="center" wrapText="1"/>
    </xf>
    <xf numFmtId="0" fontId="10" fillId="8" borderId="2" xfId="0" applyFont="1" applyFill="1" applyBorder="1" applyAlignment="1">
      <alignment horizontal="left" vertical="center" wrapText="1"/>
    </xf>
    <xf numFmtId="0" fontId="31" fillId="4" borderId="1" xfId="0" applyFont="1" applyFill="1" applyBorder="1" applyAlignment="1">
      <alignment horizontal="center" vertical="center" wrapText="1"/>
    </xf>
    <xf numFmtId="0" fontId="10" fillId="8" borderId="1" xfId="0" applyFont="1" applyFill="1" applyBorder="1" applyAlignment="1">
      <alignment wrapText="1"/>
    </xf>
    <xf numFmtId="0" fontId="31" fillId="0" borderId="1" xfId="0" applyFont="1" applyFill="1" applyBorder="1" applyAlignment="1">
      <alignment horizontal="center" vertical="center" wrapText="1"/>
    </xf>
    <xf numFmtId="49" fontId="14" fillId="9" borderId="2" xfId="0" applyNumberFormat="1" applyFont="1" applyFill="1" applyBorder="1" applyAlignment="1">
      <alignment wrapText="1"/>
    </xf>
    <xf numFmtId="0" fontId="18" fillId="0" borderId="2" xfId="0" applyFont="1" applyBorder="1" applyAlignment="1">
      <alignment wrapText="1"/>
    </xf>
    <xf numFmtId="0" fontId="4" fillId="10" borderId="1" xfId="0" applyFont="1" applyFill="1" applyBorder="1" applyAlignment="1">
      <alignment horizontal="center" vertical="center" wrapText="1"/>
    </xf>
    <xf numFmtId="0" fontId="5" fillId="11" borderId="0" xfId="0" applyFont="1" applyFill="1" applyAlignment="1">
      <alignment wrapText="1"/>
    </xf>
    <xf numFmtId="0" fontId="18" fillId="12" borderId="2" xfId="0" applyFont="1" applyFill="1" applyBorder="1" applyAlignment="1">
      <alignment wrapText="1"/>
    </xf>
    <xf numFmtId="0" fontId="10" fillId="13" borderId="3" xfId="0" applyFont="1" applyFill="1" applyBorder="1" applyAlignment="1">
      <alignment horizontal="left" vertical="center" wrapText="1"/>
    </xf>
    <xf numFmtId="0" fontId="10" fillId="13" borderId="1" xfId="0" applyFont="1" applyFill="1" applyBorder="1" applyAlignment="1">
      <alignment horizontal="left" vertical="center" wrapText="1"/>
    </xf>
    <xf numFmtId="0" fontId="10" fillId="13" borderId="1" xfId="0" applyFont="1" applyFill="1" applyBorder="1" applyAlignment="1">
      <alignment horizontal="center" vertical="center" wrapText="1"/>
    </xf>
    <xf numFmtId="0" fontId="10" fillId="13" borderId="2" xfId="0" applyFont="1" applyFill="1" applyBorder="1" applyAlignment="1">
      <alignment wrapText="1"/>
    </xf>
    <xf numFmtId="0" fontId="10" fillId="14" borderId="3" xfId="0" applyFont="1" applyFill="1" applyBorder="1" applyAlignment="1">
      <alignment horizontal="left" vertical="center" wrapText="1"/>
    </xf>
    <xf numFmtId="0" fontId="10" fillId="14" borderId="1" xfId="0" applyFont="1" applyFill="1" applyBorder="1" applyAlignment="1">
      <alignment horizontal="left" vertical="center" wrapText="1"/>
    </xf>
    <xf numFmtId="0" fontId="10" fillId="14" borderId="1" xfId="0" applyFont="1" applyFill="1" applyBorder="1" applyAlignment="1">
      <alignment horizontal="center" vertical="center" wrapText="1"/>
    </xf>
    <xf numFmtId="0" fontId="10" fillId="14" borderId="2" xfId="0" applyFont="1" applyFill="1" applyBorder="1" applyAlignment="1">
      <alignment wrapText="1"/>
    </xf>
    <xf numFmtId="49" fontId="5" fillId="14" borderId="2" xfId="0" applyNumberFormat="1" applyFont="1" applyFill="1" applyBorder="1" applyAlignment="1">
      <alignment wrapText="1"/>
    </xf>
    <xf numFmtId="2" fontId="10" fillId="13" borderId="2" xfId="0" applyNumberFormat="1" applyFont="1" applyFill="1" applyBorder="1" applyAlignment="1">
      <alignment wrapText="1"/>
    </xf>
    <xf numFmtId="49" fontId="5" fillId="7" borderId="2" xfId="0" applyNumberFormat="1" applyFont="1" applyFill="1" applyBorder="1" applyAlignment="1">
      <alignment wrapText="1"/>
    </xf>
    <xf numFmtId="0" fontId="10" fillId="15" borderId="3" xfId="0" applyFont="1" applyFill="1" applyBorder="1" applyAlignment="1">
      <alignment horizontal="left" vertical="center" wrapText="1"/>
    </xf>
    <xf numFmtId="0" fontId="10" fillId="15" borderId="1" xfId="0" applyFont="1" applyFill="1" applyBorder="1" applyAlignment="1">
      <alignment horizontal="left" vertical="center" wrapText="1"/>
    </xf>
    <xf numFmtId="0" fontId="10" fillId="15" borderId="1" xfId="0" applyFont="1" applyFill="1" applyBorder="1" applyAlignment="1">
      <alignment horizontal="center" vertical="center" wrapText="1"/>
    </xf>
    <xf numFmtId="49" fontId="5" fillId="15" borderId="2" xfId="0" applyNumberFormat="1" applyFont="1" applyFill="1" applyBorder="1" applyAlignment="1">
      <alignment wrapText="1"/>
    </xf>
    <xf numFmtId="0" fontId="35" fillId="14" borderId="3" xfId="0" applyFont="1" applyFill="1" applyBorder="1" applyAlignment="1">
      <alignment horizontal="left" vertical="center" wrapText="1"/>
    </xf>
    <xf numFmtId="0" fontId="35" fillId="14" borderId="1" xfId="0" applyFont="1" applyFill="1" applyBorder="1" applyAlignment="1">
      <alignment horizontal="left" vertical="center" wrapText="1"/>
    </xf>
    <xf numFmtId="0" fontId="35" fillId="14" borderId="1" xfId="0" applyFont="1" applyFill="1" applyBorder="1" applyAlignment="1">
      <alignment horizontal="center" vertical="center" wrapText="1"/>
    </xf>
    <xf numFmtId="49" fontId="41" fillId="14" borderId="2" xfId="0" applyNumberFormat="1" applyFont="1" applyFill="1" applyBorder="1" applyAlignment="1">
      <alignment wrapText="1"/>
    </xf>
    <xf numFmtId="49" fontId="5" fillId="13" borderId="2" xfId="0" applyNumberFormat="1" applyFont="1" applyFill="1" applyBorder="1" applyAlignment="1">
      <alignment wrapText="1"/>
    </xf>
    <xf numFmtId="2" fontId="10" fillId="14" borderId="2" xfId="0" applyNumberFormat="1" applyFont="1" applyFill="1" applyBorder="1" applyAlignment="1">
      <alignment wrapText="1"/>
    </xf>
    <xf numFmtId="2" fontId="5" fillId="13" borderId="2" xfId="0" applyNumberFormat="1" applyFont="1" applyFill="1" applyBorder="1" applyAlignment="1">
      <alignment wrapText="1"/>
    </xf>
    <xf numFmtId="0" fontId="5" fillId="14" borderId="2" xfId="0" applyFont="1" applyFill="1" applyBorder="1" applyAlignment="1">
      <alignment vertical="center" wrapText="1"/>
    </xf>
    <xf numFmtId="0" fontId="41" fillId="15" borderId="2" xfId="0" applyFont="1" applyFill="1" applyBorder="1" applyAlignment="1">
      <alignment wrapText="1"/>
    </xf>
    <xf numFmtId="0" fontId="39" fillId="15" borderId="2" xfId="0" applyFont="1" applyFill="1" applyBorder="1" applyAlignment="1">
      <alignment wrapText="1"/>
    </xf>
    <xf numFmtId="0" fontId="42" fillId="15" borderId="2" xfId="0" applyFont="1" applyFill="1" applyBorder="1" applyAlignment="1">
      <alignment wrapText="1"/>
    </xf>
    <xf numFmtId="0" fontId="5" fillId="14" borderId="1" xfId="0" applyFont="1" applyFill="1" applyBorder="1" applyAlignment="1">
      <alignment horizontal="left" vertical="center" wrapText="1"/>
    </xf>
    <xf numFmtId="0" fontId="5" fillId="14" borderId="6" xfId="0" applyFont="1" applyFill="1" applyBorder="1" applyAlignment="1">
      <alignment horizontal="left" vertical="center" wrapText="1"/>
    </xf>
    <xf numFmtId="0" fontId="0" fillId="14" borderId="5" xfId="0" applyFill="1" applyBorder="1" applyAlignment="1">
      <alignment horizontal="left" vertical="center" wrapText="1"/>
    </xf>
    <xf numFmtId="0" fontId="0" fillId="14" borderId="4" xfId="0" applyFill="1" applyBorder="1" applyAlignment="1">
      <alignment horizontal="left" vertical="center" wrapText="1"/>
    </xf>
    <xf numFmtId="0" fontId="5" fillId="14" borderId="3" xfId="0" applyFont="1" applyFill="1" applyBorder="1" applyAlignment="1">
      <alignment horizontal="left" vertical="center" wrapText="1"/>
    </xf>
    <xf numFmtId="0" fontId="5" fillId="14" borderId="5" xfId="0" applyFont="1" applyFill="1" applyBorder="1" applyAlignment="1">
      <alignment horizontal="left" vertical="center" wrapText="1"/>
    </xf>
    <xf numFmtId="0" fontId="5" fillId="14" borderId="4" xfId="0" applyFont="1" applyFill="1" applyBorder="1" applyAlignment="1">
      <alignment horizontal="left" vertical="center" wrapText="1"/>
    </xf>
    <xf numFmtId="0" fontId="31" fillId="14" borderId="6" xfId="0" applyFont="1" applyFill="1" applyBorder="1" applyAlignment="1">
      <alignment horizontal="left" vertical="center" wrapText="1"/>
    </xf>
    <xf numFmtId="0" fontId="0" fillId="0" borderId="5" xfId="0" applyBorder="1" applyAlignment="1">
      <alignment vertical="center" wrapText="1"/>
    </xf>
    <xf numFmtId="0" fontId="0" fillId="0" borderId="4" xfId="0" applyBorder="1" applyAlignment="1">
      <alignment vertical="center" wrapText="1"/>
    </xf>
    <xf numFmtId="0" fontId="20" fillId="0" borderId="1" xfId="0" applyFont="1" applyBorder="1" applyAlignment="1">
      <alignment wrapText="1"/>
    </xf>
    <xf numFmtId="0" fontId="21" fillId="0" borderId="1" xfId="0" applyFont="1" applyBorder="1" applyAlignment="1">
      <alignment wrapText="1"/>
    </xf>
    <xf numFmtId="0" fontId="20" fillId="0" borderId="4" xfId="0" applyFont="1" applyBorder="1" applyAlignment="1">
      <alignment wrapText="1"/>
    </xf>
    <xf numFmtId="0" fontId="15" fillId="6" borderId="3"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4" fillId="6" borderId="1" xfId="0" applyFont="1" applyFill="1" applyBorder="1" applyAlignment="1">
      <alignment horizontal="right" vertical="center" wrapText="1"/>
    </xf>
    <xf numFmtId="0" fontId="7" fillId="0" borderId="1" xfId="0" applyFont="1" applyBorder="1" applyAlignment="1">
      <alignment vertical="center" wrapText="1"/>
    </xf>
    <xf numFmtId="0" fontId="20" fillId="0" borderId="7" xfId="0" applyFont="1" applyBorder="1" applyAlignment="1">
      <alignment wrapText="1"/>
    </xf>
    <xf numFmtId="0" fontId="21" fillId="0" borderId="8" xfId="0" applyFont="1" applyBorder="1" applyAlignment="1">
      <alignment wrapText="1"/>
    </xf>
    <xf numFmtId="0" fontId="21" fillId="0" borderId="9" xfId="0" applyFont="1" applyBorder="1" applyAlignment="1">
      <alignment wrapText="1"/>
    </xf>
    <xf numFmtId="0" fontId="18" fillId="0" borderId="3" xfId="0" applyFont="1" applyBorder="1" applyAlignment="1">
      <alignment horizontal="center"/>
    </xf>
    <xf numFmtId="0" fontId="18" fillId="0" borderId="1" xfId="0" applyFont="1" applyBorder="1" applyAlignment="1">
      <alignment horizontal="center"/>
    </xf>
    <xf numFmtId="0" fontId="18" fillId="0" borderId="2" xfId="0" applyFont="1" applyBorder="1" applyAlignment="1">
      <alignment horizontal="center"/>
    </xf>
    <xf numFmtId="0" fontId="13" fillId="0" borderId="2"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3" fillId="0" borderId="2" xfId="0" applyFont="1" applyFill="1" applyBorder="1" applyAlignment="1">
      <alignment horizontal="left" vertical="center" wrapText="1"/>
    </xf>
  </cellXfs>
  <cellStyles count="2">
    <cellStyle name="Normal" xfId="0" builtinId="0"/>
    <cellStyle name="Normal 2" xfId="1"/>
  </cellStyles>
  <dxfs count="0"/>
  <tableStyles count="0" defaultTableStyle="TableStyleMedium9" defaultPivotStyle="PivotStyleLight16"/>
  <colors>
    <mruColors>
      <color rgb="FFCCFFFF"/>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286"/>
  <sheetViews>
    <sheetView tabSelected="1" topLeftCell="A279" zoomScaleNormal="100" zoomScaleSheetLayoutView="100" workbookViewId="0">
      <selection activeCell="I281" sqref="I281"/>
    </sheetView>
  </sheetViews>
  <sheetFormatPr defaultRowHeight="12" x14ac:dyDescent="0.2"/>
  <cols>
    <col min="1" max="1" width="3.42578125" style="3" customWidth="1"/>
    <col min="2" max="2" width="18.5703125" style="3" customWidth="1"/>
    <col min="3" max="3" width="17.7109375" style="6" customWidth="1"/>
    <col min="4" max="4" width="6.140625" style="6" customWidth="1"/>
    <col min="5" max="5" width="9.140625" style="6"/>
    <col min="6" max="6" width="6.140625" style="6" customWidth="1"/>
    <col min="7" max="7" width="12.85546875" style="6" customWidth="1"/>
    <col min="8" max="8" width="78.5703125" style="7" customWidth="1"/>
    <col min="9" max="9" width="33.5703125" style="2" customWidth="1"/>
    <col min="10" max="16384" width="9.140625" style="2"/>
  </cols>
  <sheetData>
    <row r="1" spans="1:256" ht="29.25" customHeight="1" x14ac:dyDescent="0.25">
      <c r="A1" s="124" t="s">
        <v>90</v>
      </c>
      <c r="B1" s="125"/>
      <c r="C1" s="125"/>
      <c r="D1" s="125"/>
      <c r="E1" s="125"/>
      <c r="F1" s="125"/>
      <c r="G1" s="125"/>
      <c r="H1" s="126"/>
      <c r="I1" s="119"/>
      <c r="J1" s="118"/>
      <c r="K1" s="118"/>
      <c r="L1" s="118"/>
      <c r="M1" s="118"/>
      <c r="N1" s="118"/>
      <c r="O1" s="118"/>
      <c r="P1" s="118"/>
      <c r="Q1" s="117"/>
      <c r="R1" s="118"/>
      <c r="S1" s="118"/>
      <c r="T1" s="118"/>
      <c r="U1" s="118"/>
      <c r="V1" s="118"/>
      <c r="W1" s="118"/>
      <c r="X1" s="118"/>
      <c r="Y1" s="117"/>
      <c r="Z1" s="118"/>
      <c r="AA1" s="118"/>
      <c r="AB1" s="118"/>
      <c r="AC1" s="118"/>
      <c r="AD1" s="118"/>
      <c r="AE1" s="118"/>
      <c r="AF1" s="118"/>
      <c r="AG1" s="117"/>
      <c r="AH1" s="118"/>
      <c r="AI1" s="118"/>
      <c r="AJ1" s="118"/>
      <c r="AK1" s="118"/>
      <c r="AL1" s="118"/>
      <c r="AM1" s="118"/>
      <c r="AN1" s="118"/>
      <c r="AO1" s="117"/>
      <c r="AP1" s="118"/>
      <c r="AQ1" s="118"/>
      <c r="AR1" s="118"/>
      <c r="AS1" s="118"/>
      <c r="AT1" s="118"/>
      <c r="AU1" s="118"/>
      <c r="AV1" s="118"/>
      <c r="AW1" s="117"/>
      <c r="AX1" s="118"/>
      <c r="AY1" s="118"/>
      <c r="AZ1" s="118"/>
      <c r="BA1" s="118"/>
      <c r="BB1" s="118"/>
      <c r="BC1" s="118"/>
      <c r="BD1" s="118"/>
      <c r="BE1" s="117"/>
      <c r="BF1" s="118"/>
      <c r="BG1" s="118"/>
      <c r="BH1" s="118"/>
      <c r="BI1" s="118"/>
      <c r="BJ1" s="118"/>
      <c r="BK1" s="118"/>
      <c r="BL1" s="118"/>
      <c r="BM1" s="117"/>
      <c r="BN1" s="118"/>
      <c r="BO1" s="118"/>
      <c r="BP1" s="118"/>
      <c r="BQ1" s="118"/>
      <c r="BR1" s="118"/>
      <c r="BS1" s="118"/>
      <c r="BT1" s="118"/>
      <c r="BU1" s="117"/>
      <c r="BV1" s="118"/>
      <c r="BW1" s="118"/>
      <c r="BX1" s="118"/>
      <c r="BY1" s="118"/>
      <c r="BZ1" s="118"/>
      <c r="CA1" s="118"/>
      <c r="CB1" s="118"/>
      <c r="CC1" s="117"/>
      <c r="CD1" s="118"/>
      <c r="CE1" s="118"/>
      <c r="CF1" s="118"/>
      <c r="CG1" s="118"/>
      <c r="CH1" s="118"/>
      <c r="CI1" s="118"/>
      <c r="CJ1" s="118"/>
      <c r="CK1" s="117"/>
      <c r="CL1" s="118"/>
      <c r="CM1" s="118"/>
      <c r="CN1" s="118"/>
      <c r="CO1" s="118"/>
      <c r="CP1" s="118"/>
      <c r="CQ1" s="118"/>
      <c r="CR1" s="118"/>
      <c r="CS1" s="117"/>
      <c r="CT1" s="118"/>
      <c r="CU1" s="118"/>
      <c r="CV1" s="118"/>
      <c r="CW1" s="118"/>
      <c r="CX1" s="118"/>
      <c r="CY1" s="118"/>
      <c r="CZ1" s="118"/>
      <c r="DA1" s="117"/>
      <c r="DB1" s="118"/>
      <c r="DC1" s="118"/>
      <c r="DD1" s="118"/>
      <c r="DE1" s="118"/>
      <c r="DF1" s="118"/>
      <c r="DG1" s="118"/>
      <c r="DH1" s="118"/>
      <c r="DI1" s="117"/>
      <c r="DJ1" s="118"/>
      <c r="DK1" s="118"/>
      <c r="DL1" s="118"/>
      <c r="DM1" s="118"/>
      <c r="DN1" s="118"/>
      <c r="DO1" s="118"/>
      <c r="DP1" s="118"/>
      <c r="DQ1" s="117"/>
      <c r="DR1" s="118"/>
      <c r="DS1" s="118"/>
      <c r="DT1" s="118"/>
      <c r="DU1" s="118"/>
      <c r="DV1" s="118"/>
      <c r="DW1" s="118"/>
      <c r="DX1" s="118"/>
      <c r="DY1" s="117"/>
      <c r="DZ1" s="118"/>
      <c r="EA1" s="118"/>
      <c r="EB1" s="118"/>
      <c r="EC1" s="118"/>
      <c r="ED1" s="118"/>
      <c r="EE1" s="118"/>
      <c r="EF1" s="118"/>
      <c r="EG1" s="117"/>
      <c r="EH1" s="118"/>
      <c r="EI1" s="118"/>
      <c r="EJ1" s="118"/>
      <c r="EK1" s="118"/>
      <c r="EL1" s="118"/>
      <c r="EM1" s="118"/>
      <c r="EN1" s="118"/>
      <c r="EO1" s="117"/>
      <c r="EP1" s="118"/>
      <c r="EQ1" s="118"/>
      <c r="ER1" s="118"/>
      <c r="ES1" s="118"/>
      <c r="ET1" s="118"/>
      <c r="EU1" s="118"/>
      <c r="EV1" s="118"/>
      <c r="EW1" s="117"/>
      <c r="EX1" s="118"/>
      <c r="EY1" s="118"/>
      <c r="EZ1" s="118"/>
      <c r="FA1" s="118"/>
      <c r="FB1" s="118"/>
      <c r="FC1" s="118"/>
      <c r="FD1" s="118"/>
      <c r="FE1" s="117"/>
      <c r="FF1" s="118"/>
      <c r="FG1" s="118"/>
      <c r="FH1" s="118"/>
      <c r="FI1" s="118"/>
      <c r="FJ1" s="118"/>
      <c r="FK1" s="118"/>
      <c r="FL1" s="118"/>
      <c r="FM1" s="117"/>
      <c r="FN1" s="118"/>
      <c r="FO1" s="118"/>
      <c r="FP1" s="118"/>
      <c r="FQ1" s="118"/>
      <c r="FR1" s="118"/>
      <c r="FS1" s="118"/>
      <c r="FT1" s="118"/>
      <c r="FU1" s="117"/>
      <c r="FV1" s="118"/>
      <c r="FW1" s="118"/>
      <c r="FX1" s="118"/>
      <c r="FY1" s="118"/>
      <c r="FZ1" s="118"/>
      <c r="GA1" s="118"/>
      <c r="GB1" s="118"/>
      <c r="GC1" s="117"/>
      <c r="GD1" s="118"/>
      <c r="GE1" s="118"/>
      <c r="GF1" s="118"/>
      <c r="GG1" s="118"/>
      <c r="GH1" s="118"/>
      <c r="GI1" s="118"/>
      <c r="GJ1" s="118"/>
      <c r="GK1" s="117"/>
      <c r="GL1" s="118"/>
      <c r="GM1" s="118"/>
      <c r="GN1" s="118"/>
      <c r="GO1" s="118"/>
      <c r="GP1" s="118"/>
      <c r="GQ1" s="118"/>
      <c r="GR1" s="118"/>
      <c r="GS1" s="117"/>
      <c r="GT1" s="118"/>
      <c r="GU1" s="118"/>
      <c r="GV1" s="118"/>
      <c r="GW1" s="118"/>
      <c r="GX1" s="118"/>
      <c r="GY1" s="118"/>
      <c r="GZ1" s="118"/>
      <c r="HA1" s="117"/>
      <c r="HB1" s="118"/>
      <c r="HC1" s="118"/>
      <c r="HD1" s="118"/>
      <c r="HE1" s="118"/>
      <c r="HF1" s="118"/>
      <c r="HG1" s="118"/>
      <c r="HH1" s="118"/>
      <c r="HI1" s="117"/>
      <c r="HJ1" s="118"/>
      <c r="HK1" s="118"/>
      <c r="HL1" s="118"/>
      <c r="HM1" s="118"/>
      <c r="HN1" s="118"/>
      <c r="HO1" s="118"/>
      <c r="HP1" s="118"/>
      <c r="HQ1" s="117"/>
      <c r="HR1" s="118"/>
      <c r="HS1" s="118"/>
      <c r="HT1" s="118"/>
      <c r="HU1" s="118"/>
      <c r="HV1" s="118"/>
      <c r="HW1" s="118"/>
      <c r="HX1" s="118"/>
      <c r="HY1" s="117"/>
      <c r="HZ1" s="118"/>
      <c r="IA1" s="118"/>
      <c r="IB1" s="118"/>
      <c r="IC1" s="118"/>
      <c r="ID1" s="118"/>
      <c r="IE1" s="118"/>
      <c r="IF1" s="118"/>
      <c r="IG1" s="117"/>
      <c r="IH1" s="118"/>
      <c r="II1" s="118"/>
      <c r="IJ1" s="118"/>
      <c r="IK1" s="118"/>
      <c r="IL1" s="118"/>
      <c r="IM1" s="118"/>
      <c r="IN1" s="118"/>
      <c r="IO1" s="117"/>
      <c r="IP1" s="118"/>
      <c r="IQ1" s="118"/>
      <c r="IR1" s="118"/>
      <c r="IS1" s="118"/>
      <c r="IT1" s="118"/>
      <c r="IU1" s="118"/>
      <c r="IV1" s="118"/>
    </row>
    <row r="2" spans="1:256" s="15" customFormat="1" ht="27" customHeight="1" x14ac:dyDescent="0.25">
      <c r="A2" s="127" t="s">
        <v>89</v>
      </c>
      <c r="B2" s="128"/>
      <c r="C2" s="128"/>
      <c r="D2" s="128"/>
      <c r="E2" s="128"/>
      <c r="F2" s="128"/>
      <c r="G2" s="128"/>
      <c r="H2" s="129"/>
    </row>
    <row r="3" spans="1:256" ht="58.5" customHeight="1" x14ac:dyDescent="0.2">
      <c r="A3" s="120" t="s">
        <v>32</v>
      </c>
      <c r="B3" s="121"/>
      <c r="C3" s="121"/>
      <c r="D3" s="122" t="s">
        <v>33</v>
      </c>
      <c r="E3" s="123"/>
      <c r="F3" s="123"/>
      <c r="G3" s="123"/>
      <c r="H3" s="27" t="s">
        <v>196</v>
      </c>
    </row>
    <row r="4" spans="1:256" ht="48" x14ac:dyDescent="0.2">
      <c r="A4" s="28"/>
      <c r="B4" s="4" t="s">
        <v>38</v>
      </c>
      <c r="C4" s="26" t="s">
        <v>30</v>
      </c>
      <c r="D4" s="5" t="s">
        <v>74</v>
      </c>
      <c r="E4" s="5" t="s">
        <v>68</v>
      </c>
      <c r="F4" s="13" t="s">
        <v>28</v>
      </c>
      <c r="G4" s="13" t="s">
        <v>29</v>
      </c>
      <c r="H4" s="29" t="s">
        <v>39</v>
      </c>
      <c r="I4" s="14"/>
    </row>
    <row r="5" spans="1:256" x14ac:dyDescent="0.2">
      <c r="A5" s="30"/>
      <c r="B5" s="11"/>
      <c r="C5" s="12"/>
      <c r="D5" s="12"/>
      <c r="E5" s="12"/>
      <c r="F5" s="12"/>
      <c r="G5" s="12"/>
      <c r="H5" s="31" t="s">
        <v>40</v>
      </c>
    </row>
    <row r="6" spans="1:256" ht="57.75" x14ac:dyDescent="0.2">
      <c r="A6" s="28"/>
      <c r="B6" s="8"/>
      <c r="C6" s="9"/>
      <c r="D6" s="9"/>
      <c r="E6" s="9"/>
      <c r="F6" s="9"/>
      <c r="G6" s="9"/>
      <c r="H6" s="32" t="s">
        <v>31</v>
      </c>
    </row>
    <row r="7" spans="1:256" x14ac:dyDescent="0.2">
      <c r="A7" s="28"/>
      <c r="B7" s="3" t="s">
        <v>41</v>
      </c>
      <c r="C7" s="6">
        <v>1</v>
      </c>
      <c r="D7" s="6">
        <v>9</v>
      </c>
      <c r="E7" s="6">
        <v>8</v>
      </c>
      <c r="F7" s="6" t="s">
        <v>42</v>
      </c>
      <c r="G7" s="6" t="s">
        <v>42</v>
      </c>
      <c r="H7" s="33" t="s">
        <v>87</v>
      </c>
    </row>
    <row r="8" spans="1:256" ht="15.75" x14ac:dyDescent="0.25">
      <c r="A8" s="34"/>
      <c r="B8" s="8" t="s">
        <v>44</v>
      </c>
      <c r="C8" s="9">
        <v>9</v>
      </c>
      <c r="D8" s="9" t="s">
        <v>73</v>
      </c>
      <c r="E8" s="9">
        <v>8</v>
      </c>
      <c r="F8" s="9" t="s">
        <v>42</v>
      </c>
      <c r="G8" s="9" t="s">
        <v>42</v>
      </c>
      <c r="H8" s="80" t="s">
        <v>180</v>
      </c>
    </row>
    <row r="9" spans="1:256" ht="36" x14ac:dyDescent="0.2">
      <c r="A9" s="34"/>
      <c r="B9" s="8" t="s">
        <v>45</v>
      </c>
      <c r="C9" s="9">
        <v>17</v>
      </c>
      <c r="D9" s="9" t="s">
        <v>73</v>
      </c>
      <c r="E9" s="9">
        <v>1</v>
      </c>
      <c r="F9" s="9" t="s">
        <v>42</v>
      </c>
      <c r="G9" s="9" t="s">
        <v>42</v>
      </c>
      <c r="H9" s="35" t="s">
        <v>193</v>
      </c>
    </row>
    <row r="10" spans="1:256" x14ac:dyDescent="0.2">
      <c r="A10" s="34"/>
      <c r="B10" s="8" t="s">
        <v>153</v>
      </c>
      <c r="C10" s="9">
        <v>18</v>
      </c>
      <c r="D10" s="9">
        <v>9</v>
      </c>
      <c r="E10" s="9">
        <v>9</v>
      </c>
      <c r="F10" s="9" t="s">
        <v>42</v>
      </c>
      <c r="G10" s="9" t="s">
        <v>42</v>
      </c>
      <c r="H10" s="36" t="s">
        <v>142</v>
      </c>
    </row>
    <row r="11" spans="1:256" x14ac:dyDescent="0.2">
      <c r="A11" s="34"/>
      <c r="B11" s="8" t="s">
        <v>47</v>
      </c>
      <c r="C11" s="9">
        <v>28</v>
      </c>
      <c r="D11" s="9" t="s">
        <v>73</v>
      </c>
      <c r="E11" s="9">
        <v>35</v>
      </c>
      <c r="F11" s="9" t="s">
        <v>42</v>
      </c>
      <c r="G11" s="9" t="s">
        <v>42</v>
      </c>
      <c r="H11" s="36" t="s">
        <v>26</v>
      </c>
    </row>
    <row r="12" spans="1:256" x14ac:dyDescent="0.2">
      <c r="A12" s="34"/>
      <c r="B12" s="8" t="s">
        <v>48</v>
      </c>
      <c r="C12" s="9">
        <v>63</v>
      </c>
      <c r="D12" s="9" t="s">
        <v>73</v>
      </c>
      <c r="E12" s="9">
        <v>15</v>
      </c>
      <c r="F12" s="9" t="s">
        <v>42</v>
      </c>
      <c r="G12" s="9" t="s">
        <v>42</v>
      </c>
      <c r="H12" s="36" t="s">
        <v>27</v>
      </c>
    </row>
    <row r="13" spans="1:256" x14ac:dyDescent="0.2">
      <c r="A13" s="34"/>
      <c r="B13" s="8" t="s">
        <v>49</v>
      </c>
      <c r="C13" s="9">
        <v>89</v>
      </c>
      <c r="D13" s="9" t="s">
        <v>73</v>
      </c>
      <c r="E13" s="9">
        <v>1</v>
      </c>
      <c r="F13" s="9" t="s">
        <v>42</v>
      </c>
      <c r="G13" s="9" t="s">
        <v>42</v>
      </c>
      <c r="H13" s="36" t="s">
        <v>86</v>
      </c>
    </row>
    <row r="14" spans="1:256" x14ac:dyDescent="0.2">
      <c r="A14" s="34"/>
      <c r="B14" s="8" t="s">
        <v>50</v>
      </c>
      <c r="C14" s="9">
        <v>90</v>
      </c>
      <c r="D14" s="9">
        <v>9</v>
      </c>
      <c r="E14" s="9">
        <v>8</v>
      </c>
      <c r="F14" s="9" t="s">
        <v>42</v>
      </c>
      <c r="G14" s="9" t="s">
        <v>42</v>
      </c>
      <c r="H14" s="36" t="s">
        <v>43</v>
      </c>
    </row>
    <row r="15" spans="1:256" ht="40.5" x14ac:dyDescent="0.2">
      <c r="A15" s="34"/>
      <c r="B15" s="8" t="s">
        <v>51</v>
      </c>
      <c r="C15" s="9">
        <v>109</v>
      </c>
      <c r="D15" s="9" t="s">
        <v>73</v>
      </c>
      <c r="E15" s="9">
        <v>30</v>
      </c>
      <c r="F15" s="9" t="s">
        <v>42</v>
      </c>
      <c r="G15" s="9" t="s">
        <v>46</v>
      </c>
      <c r="H15" s="35" t="s">
        <v>156</v>
      </c>
    </row>
    <row r="16" spans="1:256" ht="39" x14ac:dyDescent="0.2">
      <c r="A16" s="28"/>
      <c r="B16" s="3" t="s">
        <v>52</v>
      </c>
      <c r="C16" s="6">
        <v>149</v>
      </c>
      <c r="D16" s="6" t="s">
        <v>73</v>
      </c>
      <c r="E16" s="6">
        <v>30</v>
      </c>
      <c r="F16" s="6" t="s">
        <v>42</v>
      </c>
      <c r="G16" s="6" t="s">
        <v>46</v>
      </c>
      <c r="H16" s="33" t="s">
        <v>155</v>
      </c>
    </row>
    <row r="17" spans="1:8" ht="40.5" x14ac:dyDescent="0.2">
      <c r="A17" s="28"/>
      <c r="B17" s="3" t="s">
        <v>53</v>
      </c>
      <c r="C17" s="6">
        <v>229</v>
      </c>
      <c r="D17" s="6" t="s">
        <v>73</v>
      </c>
      <c r="E17" s="6">
        <v>19</v>
      </c>
      <c r="F17" s="6" t="s">
        <v>42</v>
      </c>
      <c r="G17" s="6" t="s">
        <v>46</v>
      </c>
      <c r="H17" s="33" t="s">
        <v>157</v>
      </c>
    </row>
    <row r="18" spans="1:8" ht="27.75" x14ac:dyDescent="0.2">
      <c r="A18" s="28"/>
      <c r="B18" s="3" t="s">
        <v>54</v>
      </c>
      <c r="C18" s="6">
        <v>248</v>
      </c>
      <c r="D18" s="6" t="s">
        <v>73</v>
      </c>
      <c r="E18" s="6">
        <v>2</v>
      </c>
      <c r="F18" s="6" t="s">
        <v>42</v>
      </c>
      <c r="G18" s="6" t="s">
        <v>46</v>
      </c>
      <c r="H18" s="33" t="s">
        <v>158</v>
      </c>
    </row>
    <row r="19" spans="1:8" ht="40.5" x14ac:dyDescent="0.2">
      <c r="A19" s="28"/>
      <c r="B19" s="3" t="s">
        <v>55</v>
      </c>
      <c r="C19" s="6">
        <v>250</v>
      </c>
      <c r="D19" s="6" t="s">
        <v>73</v>
      </c>
      <c r="E19" s="6">
        <v>11</v>
      </c>
      <c r="F19" s="6" t="s">
        <v>42</v>
      </c>
      <c r="G19" s="6" t="s">
        <v>46</v>
      </c>
      <c r="H19" s="77" t="s">
        <v>159</v>
      </c>
    </row>
    <row r="20" spans="1:8" ht="84" x14ac:dyDescent="0.2">
      <c r="A20" s="34"/>
      <c r="B20" s="8" t="s">
        <v>56</v>
      </c>
      <c r="C20" s="9">
        <v>309</v>
      </c>
      <c r="D20" s="9">
        <v>9</v>
      </c>
      <c r="E20" s="9">
        <v>8</v>
      </c>
      <c r="F20" s="9" t="s">
        <v>42</v>
      </c>
      <c r="G20" s="9" t="s">
        <v>46</v>
      </c>
      <c r="H20" s="36" t="s">
        <v>143</v>
      </c>
    </row>
    <row r="21" spans="1:8" ht="96" x14ac:dyDescent="0.2">
      <c r="A21" s="81"/>
      <c r="B21" s="82" t="s">
        <v>152</v>
      </c>
      <c r="C21" s="83">
        <v>317</v>
      </c>
      <c r="D21" s="83">
        <v>9</v>
      </c>
      <c r="E21" s="83">
        <v>8</v>
      </c>
      <c r="F21" s="83" t="s">
        <v>42</v>
      </c>
      <c r="G21" s="83" t="s">
        <v>42</v>
      </c>
      <c r="H21" s="84" t="s">
        <v>197</v>
      </c>
    </row>
    <row r="22" spans="1:8" ht="12.75" x14ac:dyDescent="0.2">
      <c r="A22" s="37"/>
      <c r="B22" s="17"/>
      <c r="C22" s="18"/>
      <c r="D22" s="18"/>
      <c r="E22" s="18"/>
      <c r="F22" s="18"/>
      <c r="G22" s="18"/>
      <c r="H22" s="38" t="s">
        <v>78</v>
      </c>
    </row>
    <row r="23" spans="1:8" ht="192" x14ac:dyDescent="0.2">
      <c r="A23" s="85"/>
      <c r="B23" s="86" t="s">
        <v>57</v>
      </c>
      <c r="C23" s="87">
        <v>393</v>
      </c>
      <c r="D23" s="87">
        <v>9</v>
      </c>
      <c r="E23" s="87">
        <v>8</v>
      </c>
      <c r="F23" s="87" t="s">
        <v>42</v>
      </c>
      <c r="G23" s="87" t="s">
        <v>46</v>
      </c>
      <c r="H23" s="88" t="s">
        <v>198</v>
      </c>
    </row>
    <row r="24" spans="1:8" ht="15" x14ac:dyDescent="0.25">
      <c r="A24" s="85"/>
      <c r="B24" s="86" t="s">
        <v>58</v>
      </c>
      <c r="C24" s="87">
        <v>401</v>
      </c>
      <c r="D24" s="87" t="s">
        <v>73</v>
      </c>
      <c r="E24" s="87">
        <v>4</v>
      </c>
      <c r="F24" s="87" t="s">
        <v>42</v>
      </c>
      <c r="G24" s="87" t="s">
        <v>46</v>
      </c>
      <c r="H24" s="89" t="s">
        <v>208</v>
      </c>
    </row>
    <row r="25" spans="1:8" ht="15" x14ac:dyDescent="0.25">
      <c r="A25" s="85"/>
      <c r="B25" s="86"/>
      <c r="C25" s="87"/>
      <c r="D25" s="87"/>
      <c r="E25" s="87"/>
      <c r="F25" s="87"/>
      <c r="G25" s="87"/>
      <c r="H25" s="89" t="s">
        <v>210</v>
      </c>
    </row>
    <row r="26" spans="1:8" ht="15" x14ac:dyDescent="0.25">
      <c r="A26" s="85"/>
      <c r="B26" s="86"/>
      <c r="C26" s="87"/>
      <c r="D26" s="87"/>
      <c r="E26" s="87"/>
      <c r="F26" s="87"/>
      <c r="G26" s="87"/>
      <c r="H26" s="89" t="s">
        <v>209</v>
      </c>
    </row>
    <row r="27" spans="1:8" x14ac:dyDescent="0.2">
      <c r="A27" s="51"/>
      <c r="B27" s="52"/>
      <c r="C27" s="53"/>
      <c r="D27" s="53"/>
      <c r="E27" s="53"/>
      <c r="F27" s="53"/>
      <c r="G27" s="53"/>
      <c r="H27" s="54" t="s">
        <v>103</v>
      </c>
    </row>
    <row r="28" spans="1:8" s="50" customFormat="1" ht="144" x14ac:dyDescent="0.2">
      <c r="A28" s="81"/>
      <c r="B28" s="82" t="s">
        <v>104</v>
      </c>
      <c r="C28" s="83">
        <v>405</v>
      </c>
      <c r="D28" s="83">
        <v>9</v>
      </c>
      <c r="E28" s="83">
        <v>8</v>
      </c>
      <c r="F28" s="83" t="s">
        <v>42</v>
      </c>
      <c r="G28" s="83" t="s">
        <v>46</v>
      </c>
      <c r="H28" s="90" t="s">
        <v>199</v>
      </c>
    </row>
    <row r="29" spans="1:8" s="50" customFormat="1" x14ac:dyDescent="0.2">
      <c r="A29" s="92"/>
      <c r="B29" s="93" t="s">
        <v>105</v>
      </c>
      <c r="C29" s="94">
        <v>443</v>
      </c>
      <c r="D29" s="94" t="s">
        <v>73</v>
      </c>
      <c r="E29" s="94">
        <v>8</v>
      </c>
      <c r="F29" s="94" t="s">
        <v>42</v>
      </c>
      <c r="G29" s="94" t="s">
        <v>46</v>
      </c>
      <c r="H29" s="95" t="s">
        <v>181</v>
      </c>
    </row>
    <row r="30" spans="1:8" s="50" customFormat="1" x14ac:dyDescent="0.2">
      <c r="A30" s="92"/>
      <c r="B30" s="93"/>
      <c r="C30" s="94"/>
      <c r="D30" s="94"/>
      <c r="E30" s="94"/>
      <c r="F30" s="94"/>
      <c r="G30" s="94"/>
      <c r="H30" s="95" t="s">
        <v>200</v>
      </c>
    </row>
    <row r="31" spans="1:8" s="50" customFormat="1" x14ac:dyDescent="0.2">
      <c r="A31" s="92"/>
      <c r="B31" s="93"/>
      <c r="C31" s="94"/>
      <c r="D31" s="94"/>
      <c r="E31" s="94"/>
      <c r="F31" s="94"/>
      <c r="G31" s="94"/>
      <c r="H31" s="95" t="s">
        <v>203</v>
      </c>
    </row>
    <row r="32" spans="1:8" s="50" customFormat="1" x14ac:dyDescent="0.2">
      <c r="A32" s="92"/>
      <c r="B32" s="93"/>
      <c r="C32" s="94"/>
      <c r="D32" s="94"/>
      <c r="E32" s="94"/>
      <c r="F32" s="94"/>
      <c r="G32" s="94"/>
      <c r="H32" s="95" t="s">
        <v>202</v>
      </c>
    </row>
    <row r="33" spans="1:8" s="50" customFormat="1" x14ac:dyDescent="0.2">
      <c r="A33" s="92"/>
      <c r="B33" s="93"/>
      <c r="C33" s="94"/>
      <c r="D33" s="94"/>
      <c r="E33" s="94"/>
      <c r="F33" s="94"/>
      <c r="G33" s="94"/>
      <c r="H33" s="95" t="s">
        <v>201</v>
      </c>
    </row>
    <row r="34" spans="1:8" s="50" customFormat="1" x14ac:dyDescent="0.2">
      <c r="A34" s="47"/>
      <c r="B34" s="48" t="s">
        <v>106</v>
      </c>
      <c r="C34" s="49">
        <v>452</v>
      </c>
      <c r="D34" s="49" t="s">
        <v>73</v>
      </c>
      <c r="E34" s="49">
        <v>23</v>
      </c>
      <c r="F34" s="9" t="s">
        <v>42</v>
      </c>
      <c r="G34" s="49" t="s">
        <v>107</v>
      </c>
      <c r="H34" s="91" t="s">
        <v>182</v>
      </c>
    </row>
    <row r="35" spans="1:8" s="50" customFormat="1" x14ac:dyDescent="0.2">
      <c r="A35" s="96"/>
      <c r="B35" s="97"/>
      <c r="C35" s="98"/>
      <c r="D35" s="98"/>
      <c r="E35" s="98"/>
      <c r="F35" s="98"/>
      <c r="G35" s="98"/>
      <c r="H35" s="99" t="s">
        <v>204</v>
      </c>
    </row>
    <row r="36" spans="1:8" s="50" customFormat="1" x14ac:dyDescent="0.2">
      <c r="A36" s="96"/>
      <c r="B36" s="97"/>
      <c r="C36" s="98"/>
      <c r="D36" s="98"/>
      <c r="E36" s="98"/>
      <c r="F36" s="98"/>
      <c r="G36" s="98"/>
      <c r="H36" s="99" t="s">
        <v>205</v>
      </c>
    </row>
    <row r="37" spans="1:8" s="50" customFormat="1" x14ac:dyDescent="0.2">
      <c r="A37" s="96"/>
      <c r="B37" s="97"/>
      <c r="C37" s="98"/>
      <c r="D37" s="98"/>
      <c r="E37" s="98"/>
      <c r="F37" s="98"/>
      <c r="G37" s="98"/>
      <c r="H37" s="99" t="s">
        <v>206</v>
      </c>
    </row>
    <row r="38" spans="1:8" s="50" customFormat="1" x14ac:dyDescent="0.2">
      <c r="A38" s="96"/>
      <c r="B38" s="97"/>
      <c r="C38" s="98"/>
      <c r="D38" s="98"/>
      <c r="E38" s="98"/>
      <c r="F38" s="98"/>
      <c r="G38" s="98"/>
      <c r="H38" s="99" t="s">
        <v>207</v>
      </c>
    </row>
    <row r="39" spans="1:8" ht="12.75" x14ac:dyDescent="0.2">
      <c r="A39" s="39"/>
      <c r="B39" s="19"/>
      <c r="C39" s="20"/>
      <c r="D39" s="20"/>
      <c r="E39" s="20"/>
      <c r="F39" s="20"/>
      <c r="G39" s="20"/>
      <c r="H39" s="38" t="s">
        <v>60</v>
      </c>
    </row>
    <row r="40" spans="1:8" ht="144" x14ac:dyDescent="0.2">
      <c r="A40" s="81"/>
      <c r="B40" s="82" t="s">
        <v>61</v>
      </c>
      <c r="C40" s="83">
        <v>475</v>
      </c>
      <c r="D40" s="83">
        <v>9</v>
      </c>
      <c r="E40" s="83">
        <v>8</v>
      </c>
      <c r="F40" s="83" t="s">
        <v>59</v>
      </c>
      <c r="G40" s="83" t="s">
        <v>46</v>
      </c>
      <c r="H40" s="84" t="s">
        <v>183</v>
      </c>
    </row>
    <row r="41" spans="1:8" ht="48" x14ac:dyDescent="0.2">
      <c r="A41" s="81"/>
      <c r="B41" s="82" t="s">
        <v>62</v>
      </c>
      <c r="C41" s="83">
        <v>483</v>
      </c>
      <c r="D41" s="83" t="s">
        <v>73</v>
      </c>
      <c r="E41" s="83">
        <v>1</v>
      </c>
      <c r="F41" s="83" t="s">
        <v>59</v>
      </c>
      <c r="G41" s="83" t="s">
        <v>46</v>
      </c>
      <c r="H41" s="84" t="s">
        <v>88</v>
      </c>
    </row>
    <row r="42" spans="1:8" ht="36" x14ac:dyDescent="0.2">
      <c r="A42" s="81"/>
      <c r="B42" s="82" t="s">
        <v>63</v>
      </c>
      <c r="C42" s="83">
        <v>484</v>
      </c>
      <c r="D42" s="83">
        <v>9</v>
      </c>
      <c r="E42" s="83">
        <v>16</v>
      </c>
      <c r="F42" s="83" t="s">
        <v>59</v>
      </c>
      <c r="G42" s="83" t="s">
        <v>46</v>
      </c>
      <c r="H42" s="84" t="s">
        <v>24</v>
      </c>
    </row>
    <row r="43" spans="1:8" s="50" customFormat="1" ht="36" x14ac:dyDescent="0.2">
      <c r="A43" s="55"/>
      <c r="B43" s="56" t="s">
        <v>34</v>
      </c>
      <c r="C43" s="57">
        <v>500</v>
      </c>
      <c r="D43" s="57">
        <v>9</v>
      </c>
      <c r="E43" s="57">
        <v>8</v>
      </c>
      <c r="F43" s="57" t="s">
        <v>59</v>
      </c>
      <c r="G43" s="57" t="s">
        <v>46</v>
      </c>
      <c r="H43" s="58" t="s">
        <v>137</v>
      </c>
    </row>
    <row r="44" spans="1:8" s="50" customFormat="1" ht="24" x14ac:dyDescent="0.2">
      <c r="A44" s="55"/>
      <c r="B44" s="56" t="s">
        <v>35</v>
      </c>
      <c r="C44" s="57">
        <f>C43+E43</f>
        <v>508</v>
      </c>
      <c r="D44" s="57" t="s">
        <v>73</v>
      </c>
      <c r="E44" s="57">
        <v>1</v>
      </c>
      <c r="F44" s="57" t="s">
        <v>59</v>
      </c>
      <c r="G44" s="57" t="s">
        <v>46</v>
      </c>
      <c r="H44" s="58" t="s">
        <v>76</v>
      </c>
    </row>
    <row r="45" spans="1:8" s="50" customFormat="1" ht="36" x14ac:dyDescent="0.2">
      <c r="A45" s="55"/>
      <c r="B45" s="56" t="s">
        <v>36</v>
      </c>
      <c r="C45" s="57">
        <f>C44+E44</f>
        <v>509</v>
      </c>
      <c r="D45" s="57" t="s">
        <v>73</v>
      </c>
      <c r="E45" s="57">
        <v>2</v>
      </c>
      <c r="F45" s="57" t="s">
        <v>59</v>
      </c>
      <c r="G45" s="57" t="s">
        <v>46</v>
      </c>
      <c r="H45" s="58" t="s">
        <v>108</v>
      </c>
    </row>
    <row r="46" spans="1:8" s="50" customFormat="1" ht="36" x14ac:dyDescent="0.2">
      <c r="A46" s="55"/>
      <c r="B46" s="56" t="s">
        <v>37</v>
      </c>
      <c r="C46" s="57">
        <f>C45+E45</f>
        <v>511</v>
      </c>
      <c r="D46" s="57">
        <v>9</v>
      </c>
      <c r="E46" s="57">
        <v>16</v>
      </c>
      <c r="F46" s="57" t="s">
        <v>59</v>
      </c>
      <c r="G46" s="57" t="s">
        <v>46</v>
      </c>
      <c r="H46" s="58" t="s">
        <v>25</v>
      </c>
    </row>
    <row r="47" spans="1:8" ht="12.75" x14ac:dyDescent="0.2">
      <c r="A47" s="39"/>
      <c r="B47" s="19"/>
      <c r="C47" s="20"/>
      <c r="D47" s="20"/>
      <c r="E47" s="20"/>
      <c r="F47" s="20"/>
      <c r="G47" s="20"/>
      <c r="H47" s="38" t="s">
        <v>64</v>
      </c>
    </row>
    <row r="48" spans="1:8" s="1" customFormat="1" ht="144" x14ac:dyDescent="0.2">
      <c r="A48" s="81"/>
      <c r="B48" s="82" t="s">
        <v>65</v>
      </c>
      <c r="C48" s="83">
        <v>608</v>
      </c>
      <c r="D48" s="83">
        <v>9</v>
      </c>
      <c r="E48" s="83">
        <v>8</v>
      </c>
      <c r="F48" s="83" t="s">
        <v>42</v>
      </c>
      <c r="G48" s="83" t="s">
        <v>46</v>
      </c>
      <c r="H48" s="84" t="s">
        <v>184</v>
      </c>
    </row>
    <row r="49" spans="1:8" x14ac:dyDescent="0.2">
      <c r="A49" s="81"/>
      <c r="B49" s="82" t="s">
        <v>66</v>
      </c>
      <c r="C49" s="83">
        <v>616</v>
      </c>
      <c r="D49" s="83" t="s">
        <v>73</v>
      </c>
      <c r="E49" s="83">
        <v>4</v>
      </c>
      <c r="F49" s="83" t="s">
        <v>42</v>
      </c>
      <c r="G49" s="83" t="s">
        <v>46</v>
      </c>
      <c r="H49" s="100" t="s">
        <v>195</v>
      </c>
    </row>
    <row r="50" spans="1:8" x14ac:dyDescent="0.2">
      <c r="A50" s="81"/>
      <c r="B50" s="82"/>
      <c r="C50" s="83"/>
      <c r="D50" s="83"/>
      <c r="E50" s="83"/>
      <c r="F50" s="83"/>
      <c r="G50" s="83"/>
      <c r="H50" s="100" t="s">
        <v>194</v>
      </c>
    </row>
    <row r="51" spans="1:8" ht="24" x14ac:dyDescent="0.2">
      <c r="A51" s="51"/>
      <c r="B51" s="52"/>
      <c r="C51" s="53"/>
      <c r="D51" s="53"/>
      <c r="E51" s="53"/>
      <c r="F51" s="53"/>
      <c r="G51" s="53"/>
      <c r="H51" s="54" t="s">
        <v>102</v>
      </c>
    </row>
    <row r="52" spans="1:8" ht="15.75" x14ac:dyDescent="0.25">
      <c r="A52" s="51"/>
      <c r="B52" s="52"/>
      <c r="C52" s="53"/>
      <c r="D52" s="53"/>
      <c r="E52" s="53"/>
      <c r="F52" s="53"/>
      <c r="G52" s="53"/>
      <c r="H52" s="76" t="s">
        <v>154</v>
      </c>
    </row>
    <row r="53" spans="1:8" ht="120" x14ac:dyDescent="0.2">
      <c r="A53" s="85"/>
      <c r="B53" s="86" t="s">
        <v>109</v>
      </c>
      <c r="C53" s="87">
        <v>620</v>
      </c>
      <c r="D53" s="87">
        <v>9</v>
      </c>
      <c r="E53" s="87">
        <v>8</v>
      </c>
      <c r="F53" s="87" t="s">
        <v>59</v>
      </c>
      <c r="G53" s="87" t="s">
        <v>46</v>
      </c>
      <c r="H53" s="101" t="s">
        <v>185</v>
      </c>
    </row>
    <row r="54" spans="1:8" ht="24" x14ac:dyDescent="0.2">
      <c r="A54" s="85"/>
      <c r="B54" s="86" t="s">
        <v>110</v>
      </c>
      <c r="C54" s="87">
        <v>628</v>
      </c>
      <c r="D54" s="87" t="s">
        <v>73</v>
      </c>
      <c r="E54" s="87">
        <v>1</v>
      </c>
      <c r="F54" s="87" t="s">
        <v>59</v>
      </c>
      <c r="G54" s="87" t="s">
        <v>46</v>
      </c>
      <c r="H54" s="89" t="s">
        <v>138</v>
      </c>
    </row>
    <row r="55" spans="1:8" x14ac:dyDescent="0.2">
      <c r="A55" s="51"/>
      <c r="B55" s="52"/>
      <c r="C55" s="53"/>
      <c r="D55" s="53"/>
      <c r="E55" s="53"/>
      <c r="F55" s="53"/>
      <c r="G55" s="53"/>
      <c r="H55" s="59"/>
    </row>
    <row r="56" spans="1:8" ht="72" x14ac:dyDescent="0.2">
      <c r="A56" s="81"/>
      <c r="B56" s="82" t="s">
        <v>111</v>
      </c>
      <c r="C56" s="83">
        <v>632</v>
      </c>
      <c r="D56" s="83" t="s">
        <v>73</v>
      </c>
      <c r="E56" s="83">
        <v>1</v>
      </c>
      <c r="F56" s="83" t="s">
        <v>59</v>
      </c>
      <c r="G56" s="83" t="s">
        <v>46</v>
      </c>
      <c r="H56" s="102" t="s">
        <v>150</v>
      </c>
    </row>
    <row r="57" spans="1:8" s="10" customFormat="1" ht="12.75" x14ac:dyDescent="0.2">
      <c r="A57" s="39"/>
      <c r="B57" s="19"/>
      <c r="C57" s="20"/>
      <c r="D57" s="20"/>
      <c r="E57" s="20"/>
      <c r="F57" s="20"/>
      <c r="G57" s="20"/>
      <c r="H57" s="38" t="s">
        <v>75</v>
      </c>
    </row>
    <row r="58" spans="1:8" s="10" customFormat="1" ht="15.75" x14ac:dyDescent="0.25">
      <c r="A58" s="60"/>
      <c r="B58" s="61"/>
      <c r="C58" s="62"/>
      <c r="D58" s="62"/>
      <c r="E58" s="62"/>
      <c r="F58" s="62"/>
      <c r="G58" s="62"/>
      <c r="H58" s="22" t="s">
        <v>128</v>
      </c>
    </row>
    <row r="59" spans="1:8" s="63" customFormat="1" ht="15" x14ac:dyDescent="0.25">
      <c r="A59" s="60"/>
      <c r="B59" s="64" t="s">
        <v>69</v>
      </c>
      <c r="C59" s="73">
        <v>755</v>
      </c>
      <c r="D59" s="65" t="s">
        <v>77</v>
      </c>
      <c r="E59" s="65">
        <v>1</v>
      </c>
      <c r="F59" s="65" t="s">
        <v>42</v>
      </c>
      <c r="G59" s="65" t="s">
        <v>59</v>
      </c>
      <c r="H59" s="66" t="s">
        <v>112</v>
      </c>
    </row>
    <row r="60" spans="1:8" s="63" customFormat="1" ht="25.5" x14ac:dyDescent="0.2">
      <c r="A60" s="60"/>
      <c r="B60" s="69" t="s">
        <v>113</v>
      </c>
      <c r="C60" s="65">
        <v>756</v>
      </c>
      <c r="D60" s="65">
        <v>9</v>
      </c>
      <c r="E60" s="65">
        <v>8</v>
      </c>
      <c r="F60" s="65" t="s">
        <v>42</v>
      </c>
      <c r="G60" s="65" t="s">
        <v>59</v>
      </c>
      <c r="H60" s="70" t="s">
        <v>114</v>
      </c>
    </row>
    <row r="61" spans="1:8" s="63" customFormat="1" ht="48" x14ac:dyDescent="0.2">
      <c r="A61" s="108" t="s">
        <v>140</v>
      </c>
      <c r="B61" s="109"/>
      <c r="C61" s="110"/>
      <c r="D61" s="107" t="s">
        <v>148</v>
      </c>
      <c r="E61" s="107"/>
      <c r="F61" s="107"/>
      <c r="G61" s="107"/>
      <c r="H61" s="103" t="s">
        <v>162</v>
      </c>
    </row>
    <row r="62" spans="1:8" s="63" customFormat="1" ht="60" customHeight="1" x14ac:dyDescent="0.2">
      <c r="A62" s="111" t="s">
        <v>101</v>
      </c>
      <c r="B62" s="107"/>
      <c r="C62" s="107"/>
      <c r="D62" s="107" t="s">
        <v>116</v>
      </c>
      <c r="E62" s="107"/>
      <c r="F62" s="107"/>
      <c r="G62" s="107"/>
      <c r="H62" s="103" t="s">
        <v>161</v>
      </c>
    </row>
    <row r="63" spans="1:8" s="63" customFormat="1" ht="54.75" customHeight="1" x14ac:dyDescent="0.2">
      <c r="A63" s="28"/>
      <c r="B63" s="8" t="s">
        <v>70</v>
      </c>
      <c r="C63" s="9">
        <f>(E60+C60)</f>
        <v>764</v>
      </c>
      <c r="D63" s="9" t="s">
        <v>73</v>
      </c>
      <c r="E63" s="9">
        <v>2</v>
      </c>
      <c r="F63" s="9" t="s">
        <v>42</v>
      </c>
      <c r="G63" s="9" t="s">
        <v>59</v>
      </c>
      <c r="H63" s="41" t="s">
        <v>144</v>
      </c>
    </row>
    <row r="64" spans="1:8" s="63" customFormat="1" x14ac:dyDescent="0.2">
      <c r="A64" s="92"/>
      <c r="B64" s="93" t="s">
        <v>71</v>
      </c>
      <c r="C64" s="94">
        <f>(E63+C63)</f>
        <v>766</v>
      </c>
      <c r="D64" s="94" t="s">
        <v>73</v>
      </c>
      <c r="E64" s="94">
        <v>10</v>
      </c>
      <c r="F64" s="94" t="s">
        <v>42</v>
      </c>
      <c r="G64" s="94" t="s">
        <v>59</v>
      </c>
      <c r="H64" s="104" t="s">
        <v>190</v>
      </c>
    </row>
    <row r="65" spans="1:8" s="63" customFormat="1" ht="80.25" customHeight="1" x14ac:dyDescent="0.2">
      <c r="A65" s="28"/>
      <c r="B65" s="3" t="s">
        <v>72</v>
      </c>
      <c r="C65" s="6">
        <f>(E64+C64)</f>
        <v>776</v>
      </c>
      <c r="D65" s="6" t="s">
        <v>73</v>
      </c>
      <c r="E65" s="6">
        <v>1</v>
      </c>
      <c r="F65" s="9" t="s">
        <v>42</v>
      </c>
      <c r="G65" s="9" t="s">
        <v>59</v>
      </c>
      <c r="H65" s="71" t="s">
        <v>141</v>
      </c>
    </row>
    <row r="66" spans="1:8" s="10" customFormat="1" ht="12.75" x14ac:dyDescent="0.2">
      <c r="A66" s="39"/>
      <c r="B66" s="19"/>
      <c r="C66" s="20"/>
      <c r="D66" s="67"/>
      <c r="E66" s="67"/>
      <c r="F66" s="67"/>
      <c r="G66" s="67"/>
      <c r="H66" s="68"/>
    </row>
    <row r="67" spans="1:8" ht="15.75" x14ac:dyDescent="0.25">
      <c r="A67" s="28"/>
      <c r="H67" s="22" t="s">
        <v>79</v>
      </c>
    </row>
    <row r="68" spans="1:8" ht="15" x14ac:dyDescent="0.25">
      <c r="A68" s="28"/>
      <c r="B68" s="8" t="s">
        <v>69</v>
      </c>
      <c r="C68" s="21">
        <v>810</v>
      </c>
      <c r="D68" s="6" t="s">
        <v>73</v>
      </c>
      <c r="E68" s="6">
        <v>1</v>
      </c>
      <c r="F68" s="9" t="s">
        <v>42</v>
      </c>
      <c r="G68" s="9" t="s">
        <v>59</v>
      </c>
      <c r="H68" s="35" t="s">
        <v>91</v>
      </c>
    </row>
    <row r="69" spans="1:8" s="10" customFormat="1" ht="25.5" x14ac:dyDescent="0.2">
      <c r="A69" s="28"/>
      <c r="B69" s="3" t="s">
        <v>67</v>
      </c>
      <c r="C69" s="6">
        <f>(E68+C68)</f>
        <v>811</v>
      </c>
      <c r="D69" s="6">
        <v>9</v>
      </c>
      <c r="E69" s="6">
        <v>8</v>
      </c>
      <c r="F69" s="9" t="s">
        <v>42</v>
      </c>
      <c r="G69" s="9" t="s">
        <v>59</v>
      </c>
      <c r="H69" s="16" t="s">
        <v>23</v>
      </c>
    </row>
    <row r="70" spans="1:8" s="10" customFormat="1" ht="60" customHeight="1" x14ac:dyDescent="0.2">
      <c r="A70" s="108" t="s">
        <v>140</v>
      </c>
      <c r="B70" s="109"/>
      <c r="C70" s="110"/>
      <c r="D70" s="107" t="s">
        <v>148</v>
      </c>
      <c r="E70" s="107"/>
      <c r="F70" s="107"/>
      <c r="G70" s="107"/>
      <c r="H70" s="103" t="s">
        <v>162</v>
      </c>
    </row>
    <row r="71" spans="1:8" ht="84" customHeight="1" x14ac:dyDescent="0.2">
      <c r="A71" s="111" t="s">
        <v>101</v>
      </c>
      <c r="B71" s="107"/>
      <c r="C71" s="107"/>
      <c r="D71" s="107" t="s">
        <v>116</v>
      </c>
      <c r="E71" s="107"/>
      <c r="F71" s="107"/>
      <c r="G71" s="107"/>
      <c r="H71" s="103" t="s">
        <v>161</v>
      </c>
    </row>
    <row r="72" spans="1:8" ht="36" x14ac:dyDescent="0.2">
      <c r="A72" s="28"/>
      <c r="B72" s="8" t="s">
        <v>70</v>
      </c>
      <c r="C72" s="9">
        <f>(E69+C69)</f>
        <v>819</v>
      </c>
      <c r="D72" s="9" t="s">
        <v>73</v>
      </c>
      <c r="E72" s="9">
        <v>2</v>
      </c>
      <c r="F72" s="9" t="s">
        <v>42</v>
      </c>
      <c r="G72" s="9" t="s">
        <v>59</v>
      </c>
      <c r="H72" s="130" t="s">
        <v>211</v>
      </c>
    </row>
    <row r="73" spans="1:8" ht="15" x14ac:dyDescent="0.25">
      <c r="A73" s="92"/>
      <c r="B73" s="93" t="s">
        <v>71</v>
      </c>
      <c r="C73" s="94">
        <f>(E72+C72)</f>
        <v>821</v>
      </c>
      <c r="D73" s="94" t="s">
        <v>73</v>
      </c>
      <c r="E73" s="94">
        <v>10</v>
      </c>
      <c r="F73" s="94" t="s">
        <v>42</v>
      </c>
      <c r="G73" s="94" t="s">
        <v>59</v>
      </c>
      <c r="H73" s="105" t="s">
        <v>191</v>
      </c>
    </row>
    <row r="74" spans="1:8" ht="24" x14ac:dyDescent="0.2">
      <c r="A74" s="28"/>
      <c r="B74" s="3" t="s">
        <v>72</v>
      </c>
      <c r="C74" s="6">
        <f>(E73+C73)</f>
        <v>831</v>
      </c>
      <c r="D74" s="6" t="s">
        <v>73</v>
      </c>
      <c r="E74" s="6">
        <v>1</v>
      </c>
      <c r="F74" s="9" t="s">
        <v>42</v>
      </c>
      <c r="G74" s="9" t="s">
        <v>59</v>
      </c>
      <c r="H74" s="43" t="s">
        <v>139</v>
      </c>
    </row>
    <row r="75" spans="1:8" x14ac:dyDescent="0.2">
      <c r="A75" s="37"/>
      <c r="B75" s="17"/>
      <c r="C75" s="18"/>
      <c r="D75" s="18"/>
      <c r="E75" s="18"/>
      <c r="F75" s="18"/>
      <c r="G75" s="18"/>
      <c r="H75" s="42"/>
    </row>
    <row r="76" spans="1:8" ht="15.75" x14ac:dyDescent="0.25">
      <c r="A76" s="28"/>
      <c r="H76" s="22" t="s">
        <v>80</v>
      </c>
    </row>
    <row r="77" spans="1:8" ht="15" x14ac:dyDescent="0.25">
      <c r="A77" s="34"/>
      <c r="B77" s="8" t="s">
        <v>69</v>
      </c>
      <c r="C77" s="21">
        <v>865</v>
      </c>
      <c r="D77" s="9" t="s">
        <v>73</v>
      </c>
      <c r="E77" s="9">
        <v>1</v>
      </c>
      <c r="F77" s="9" t="s">
        <v>42</v>
      </c>
      <c r="G77" s="9" t="s">
        <v>59</v>
      </c>
      <c r="H77" s="35" t="s">
        <v>93</v>
      </c>
    </row>
    <row r="78" spans="1:8" s="10" customFormat="1" ht="25.5" x14ac:dyDescent="0.2">
      <c r="A78" s="28"/>
      <c r="B78" s="3" t="s">
        <v>67</v>
      </c>
      <c r="C78" s="6">
        <f>(E77+C77)</f>
        <v>866</v>
      </c>
      <c r="D78" s="6">
        <v>9</v>
      </c>
      <c r="E78" s="6">
        <v>8</v>
      </c>
      <c r="F78" s="9" t="s">
        <v>42</v>
      </c>
      <c r="G78" s="9" t="s">
        <v>59</v>
      </c>
      <c r="H78" s="16" t="s">
        <v>23</v>
      </c>
    </row>
    <row r="79" spans="1:8" s="10" customFormat="1" ht="72" customHeight="1" x14ac:dyDescent="0.2">
      <c r="A79" s="114" t="s">
        <v>140</v>
      </c>
      <c r="B79" s="115"/>
      <c r="C79" s="116"/>
      <c r="D79" s="107" t="s">
        <v>186</v>
      </c>
      <c r="E79" s="107"/>
      <c r="F79" s="107"/>
      <c r="G79" s="107"/>
      <c r="H79" s="103" t="s">
        <v>187</v>
      </c>
    </row>
    <row r="80" spans="1:8" ht="96" customHeight="1" x14ac:dyDescent="0.2">
      <c r="A80" s="114" t="s">
        <v>115</v>
      </c>
      <c r="B80" s="115"/>
      <c r="C80" s="116"/>
      <c r="D80" s="107" t="s">
        <v>188</v>
      </c>
      <c r="E80" s="107"/>
      <c r="F80" s="107"/>
      <c r="G80" s="107"/>
      <c r="H80" s="103" t="s">
        <v>189</v>
      </c>
    </row>
    <row r="81" spans="1:8" ht="36" x14ac:dyDescent="0.2">
      <c r="A81" s="28"/>
      <c r="B81" s="8" t="s">
        <v>70</v>
      </c>
      <c r="C81" s="9">
        <f>(E78+C78)</f>
        <v>874</v>
      </c>
      <c r="D81" s="9" t="s">
        <v>73</v>
      </c>
      <c r="E81" s="9">
        <v>2</v>
      </c>
      <c r="F81" s="9" t="s">
        <v>42</v>
      </c>
      <c r="G81" s="9" t="s">
        <v>59</v>
      </c>
      <c r="H81" s="131" t="s">
        <v>211</v>
      </c>
    </row>
    <row r="82" spans="1:8" ht="15" x14ac:dyDescent="0.25">
      <c r="A82" s="92"/>
      <c r="B82" s="93" t="s">
        <v>71</v>
      </c>
      <c r="C82" s="94">
        <f>(E81+C81)</f>
        <v>876</v>
      </c>
      <c r="D82" s="94" t="s">
        <v>73</v>
      </c>
      <c r="E82" s="94">
        <v>10</v>
      </c>
      <c r="F82" s="94" t="s">
        <v>42</v>
      </c>
      <c r="G82" s="94" t="s">
        <v>59</v>
      </c>
      <c r="H82" s="106" t="s">
        <v>192</v>
      </c>
    </row>
    <row r="83" spans="1:8" ht="24" x14ac:dyDescent="0.2">
      <c r="A83" s="28"/>
      <c r="B83" s="3" t="s">
        <v>72</v>
      </c>
      <c r="C83" s="6">
        <f>(E82+C82)</f>
        <v>886</v>
      </c>
      <c r="D83" s="6" t="s">
        <v>73</v>
      </c>
      <c r="E83" s="6">
        <v>1</v>
      </c>
      <c r="F83" s="9" t="s">
        <v>42</v>
      </c>
      <c r="G83" s="9" t="s">
        <v>59</v>
      </c>
      <c r="H83" s="43" t="s">
        <v>139</v>
      </c>
    </row>
    <row r="84" spans="1:8" x14ac:dyDescent="0.2">
      <c r="A84" s="37"/>
      <c r="B84" s="17"/>
      <c r="C84" s="18"/>
      <c r="D84" s="18"/>
      <c r="E84" s="18"/>
      <c r="F84" s="18"/>
      <c r="G84" s="18"/>
      <c r="H84" s="42"/>
    </row>
    <row r="85" spans="1:8" ht="15.75" x14ac:dyDescent="0.25">
      <c r="A85" s="28"/>
      <c r="H85" s="22" t="s">
        <v>81</v>
      </c>
    </row>
    <row r="86" spans="1:8" ht="15" x14ac:dyDescent="0.25">
      <c r="A86" s="34"/>
      <c r="B86" s="8" t="s">
        <v>69</v>
      </c>
      <c r="C86" s="21">
        <v>920</v>
      </c>
      <c r="D86" s="9" t="s">
        <v>73</v>
      </c>
      <c r="E86" s="9">
        <v>1</v>
      </c>
      <c r="F86" s="9" t="s">
        <v>42</v>
      </c>
      <c r="G86" s="9" t="s">
        <v>59</v>
      </c>
      <c r="H86" s="35" t="s">
        <v>94</v>
      </c>
    </row>
    <row r="87" spans="1:8" s="10" customFormat="1" ht="25.5" x14ac:dyDescent="0.2">
      <c r="A87" s="28"/>
      <c r="B87" s="3" t="s">
        <v>67</v>
      </c>
      <c r="C87" s="6">
        <f>(E86+C86)</f>
        <v>921</v>
      </c>
      <c r="D87" s="6">
        <v>9</v>
      </c>
      <c r="E87" s="6">
        <v>8</v>
      </c>
      <c r="F87" s="9" t="s">
        <v>42</v>
      </c>
      <c r="G87" s="9" t="s">
        <v>59</v>
      </c>
      <c r="H87" s="16" t="s">
        <v>23</v>
      </c>
    </row>
    <row r="88" spans="1:8" s="10" customFormat="1" ht="72" customHeight="1" x14ac:dyDescent="0.2">
      <c r="A88" s="108" t="s">
        <v>140</v>
      </c>
      <c r="B88" s="112"/>
      <c r="C88" s="113"/>
      <c r="D88" s="107" t="s">
        <v>148</v>
      </c>
      <c r="E88" s="107"/>
      <c r="F88" s="107"/>
      <c r="G88" s="107"/>
      <c r="H88" s="103" t="s">
        <v>162</v>
      </c>
    </row>
    <row r="89" spans="1:8" ht="60" customHeight="1" x14ac:dyDescent="0.2">
      <c r="A89" s="108" t="s">
        <v>101</v>
      </c>
      <c r="B89" s="112"/>
      <c r="C89" s="113"/>
      <c r="D89" s="107" t="s">
        <v>163</v>
      </c>
      <c r="E89" s="107"/>
      <c r="F89" s="107"/>
      <c r="G89" s="107"/>
      <c r="H89" s="103" t="s">
        <v>160</v>
      </c>
    </row>
    <row r="90" spans="1:8" ht="36" x14ac:dyDescent="0.2">
      <c r="A90" s="28"/>
      <c r="B90" s="8" t="s">
        <v>70</v>
      </c>
      <c r="C90" s="9">
        <f>(E87+C87)</f>
        <v>929</v>
      </c>
      <c r="D90" s="9" t="s">
        <v>73</v>
      </c>
      <c r="E90" s="9">
        <v>2</v>
      </c>
      <c r="F90" s="9" t="s">
        <v>42</v>
      </c>
      <c r="G90" s="9" t="s">
        <v>59</v>
      </c>
      <c r="H90" s="132" t="s">
        <v>211</v>
      </c>
    </row>
    <row r="91" spans="1:8" ht="42" x14ac:dyDescent="0.25">
      <c r="A91" s="34"/>
      <c r="B91" s="8" t="s">
        <v>71</v>
      </c>
      <c r="C91" s="9">
        <f>(E90+C90)</f>
        <v>931</v>
      </c>
      <c r="D91" s="9" t="s">
        <v>73</v>
      </c>
      <c r="E91" s="9">
        <v>10</v>
      </c>
      <c r="F91" s="9" t="s">
        <v>42</v>
      </c>
      <c r="G91" s="9" t="s">
        <v>59</v>
      </c>
      <c r="H91" s="35" t="s">
        <v>145</v>
      </c>
    </row>
    <row r="92" spans="1:8" ht="24" x14ac:dyDescent="0.2">
      <c r="A92" s="28"/>
      <c r="B92" s="3" t="s">
        <v>72</v>
      </c>
      <c r="C92" s="6">
        <f>(E91+C91)</f>
        <v>941</v>
      </c>
      <c r="D92" s="6" t="s">
        <v>73</v>
      </c>
      <c r="E92" s="6">
        <v>1</v>
      </c>
      <c r="F92" s="9" t="s">
        <v>42</v>
      </c>
      <c r="G92" s="9" t="s">
        <v>59</v>
      </c>
      <c r="H92" s="43" t="s">
        <v>139</v>
      </c>
    </row>
    <row r="93" spans="1:8" x14ac:dyDescent="0.2">
      <c r="A93" s="37"/>
      <c r="B93" s="17"/>
      <c r="C93" s="18"/>
      <c r="D93" s="18"/>
      <c r="E93" s="18"/>
      <c r="F93" s="18"/>
      <c r="G93" s="18"/>
      <c r="H93" s="42"/>
    </row>
    <row r="94" spans="1:8" ht="15.75" x14ac:dyDescent="0.25">
      <c r="A94" s="28"/>
      <c r="H94" s="22" t="s">
        <v>82</v>
      </c>
    </row>
    <row r="95" spans="1:8" ht="15" x14ac:dyDescent="0.25">
      <c r="A95" s="34"/>
      <c r="B95" s="8" t="s">
        <v>69</v>
      </c>
      <c r="C95" s="21">
        <v>975</v>
      </c>
      <c r="D95" s="9" t="s">
        <v>73</v>
      </c>
      <c r="E95" s="9">
        <v>1</v>
      </c>
      <c r="F95" s="9" t="s">
        <v>42</v>
      </c>
      <c r="G95" s="9" t="s">
        <v>59</v>
      </c>
      <c r="H95" s="35" t="s">
        <v>95</v>
      </c>
    </row>
    <row r="96" spans="1:8" s="10" customFormat="1" ht="25.5" x14ac:dyDescent="0.2">
      <c r="A96" s="28"/>
      <c r="B96" s="3" t="s">
        <v>67</v>
      </c>
      <c r="C96" s="6">
        <f>(E95+C95)</f>
        <v>976</v>
      </c>
      <c r="D96" s="6">
        <v>9</v>
      </c>
      <c r="E96" s="6">
        <v>8</v>
      </c>
      <c r="F96" s="9" t="s">
        <v>42</v>
      </c>
      <c r="G96" s="9" t="s">
        <v>59</v>
      </c>
      <c r="H96" s="16" t="s">
        <v>23</v>
      </c>
    </row>
    <row r="97" spans="1:8" s="10" customFormat="1" ht="72" customHeight="1" x14ac:dyDescent="0.2">
      <c r="A97" s="108" t="s">
        <v>140</v>
      </c>
      <c r="B97" s="112"/>
      <c r="C97" s="113"/>
      <c r="D97" s="107" t="s">
        <v>148</v>
      </c>
      <c r="E97" s="107"/>
      <c r="F97" s="107"/>
      <c r="G97" s="107"/>
      <c r="H97" s="103" t="s">
        <v>162</v>
      </c>
    </row>
    <row r="98" spans="1:8" ht="96" customHeight="1" x14ac:dyDescent="0.2">
      <c r="A98" s="108" t="s">
        <v>101</v>
      </c>
      <c r="B98" s="112"/>
      <c r="C98" s="113"/>
      <c r="D98" s="107" t="s">
        <v>163</v>
      </c>
      <c r="E98" s="107"/>
      <c r="F98" s="107"/>
      <c r="G98" s="107"/>
      <c r="H98" s="103" t="s">
        <v>160</v>
      </c>
    </row>
    <row r="99" spans="1:8" ht="36" x14ac:dyDescent="0.2">
      <c r="A99" s="28"/>
      <c r="B99" s="8" t="s">
        <v>70</v>
      </c>
      <c r="C99" s="9">
        <f>(E96+C96)</f>
        <v>984</v>
      </c>
      <c r="D99" s="9" t="s">
        <v>73</v>
      </c>
      <c r="E99" s="9">
        <v>2</v>
      </c>
      <c r="F99" s="9" t="s">
        <v>42</v>
      </c>
      <c r="G99" s="9" t="s">
        <v>59</v>
      </c>
      <c r="H99" s="133" t="s">
        <v>211</v>
      </c>
    </row>
    <row r="100" spans="1:8" ht="42" x14ac:dyDescent="0.25">
      <c r="A100" s="34"/>
      <c r="B100" s="8" t="s">
        <v>71</v>
      </c>
      <c r="C100" s="9">
        <f>(E99+C99)</f>
        <v>986</v>
      </c>
      <c r="D100" s="9" t="s">
        <v>73</v>
      </c>
      <c r="E100" s="9">
        <v>10</v>
      </c>
      <c r="F100" s="9" t="s">
        <v>42</v>
      </c>
      <c r="G100" s="9" t="s">
        <v>59</v>
      </c>
      <c r="H100" s="35" t="s">
        <v>146</v>
      </c>
    </row>
    <row r="101" spans="1:8" ht="24" x14ac:dyDescent="0.2">
      <c r="A101" s="28"/>
      <c r="B101" s="3" t="s">
        <v>72</v>
      </c>
      <c r="C101" s="6">
        <f>(E100+C100)</f>
        <v>996</v>
      </c>
      <c r="D101" s="6" t="s">
        <v>73</v>
      </c>
      <c r="E101" s="6">
        <v>1</v>
      </c>
      <c r="F101" s="9" t="s">
        <v>42</v>
      </c>
      <c r="G101" s="9" t="s">
        <v>59</v>
      </c>
      <c r="H101" s="43" t="s">
        <v>139</v>
      </c>
    </row>
    <row r="102" spans="1:8" x14ac:dyDescent="0.2">
      <c r="A102" s="37"/>
      <c r="B102" s="17"/>
      <c r="C102" s="18"/>
      <c r="D102" s="18"/>
      <c r="E102" s="18"/>
      <c r="F102" s="18"/>
      <c r="G102" s="18"/>
      <c r="H102" s="42"/>
    </row>
    <row r="103" spans="1:8" ht="15.75" x14ac:dyDescent="0.25">
      <c r="A103" s="28"/>
      <c r="H103" s="22" t="s">
        <v>21</v>
      </c>
    </row>
    <row r="104" spans="1:8" ht="15" x14ac:dyDescent="0.25">
      <c r="A104" s="34"/>
      <c r="B104" s="8" t="s">
        <v>69</v>
      </c>
      <c r="C104" s="21">
        <v>1030</v>
      </c>
      <c r="D104" s="9" t="s">
        <v>73</v>
      </c>
      <c r="E104" s="9">
        <v>1</v>
      </c>
      <c r="F104" s="9" t="s">
        <v>42</v>
      </c>
      <c r="G104" s="9" t="s">
        <v>59</v>
      </c>
      <c r="H104" s="35" t="s">
        <v>96</v>
      </c>
    </row>
    <row r="105" spans="1:8" s="10" customFormat="1" ht="25.5" x14ac:dyDescent="0.2">
      <c r="A105" s="28"/>
      <c r="B105" s="3" t="s">
        <v>67</v>
      </c>
      <c r="C105" s="6">
        <f t="shared" ref="C105:C112" si="0">(E104+C104)</f>
        <v>1031</v>
      </c>
      <c r="D105" s="6">
        <v>9</v>
      </c>
      <c r="E105" s="6">
        <v>8</v>
      </c>
      <c r="F105" s="9" t="s">
        <v>42</v>
      </c>
      <c r="G105" s="9" t="s">
        <v>59</v>
      </c>
      <c r="H105" s="16" t="s">
        <v>23</v>
      </c>
    </row>
    <row r="106" spans="1:8" s="10" customFormat="1" ht="72" customHeight="1" x14ac:dyDescent="0.2">
      <c r="A106" s="108" t="s">
        <v>140</v>
      </c>
      <c r="B106" s="109"/>
      <c r="C106" s="110"/>
      <c r="D106" s="107" t="s">
        <v>148</v>
      </c>
      <c r="E106" s="107"/>
      <c r="F106" s="107"/>
      <c r="G106" s="107"/>
      <c r="H106" s="103" t="s">
        <v>162</v>
      </c>
    </row>
    <row r="107" spans="1:8" ht="96" customHeight="1" x14ac:dyDescent="0.2">
      <c r="A107" s="111" t="s">
        <v>101</v>
      </c>
      <c r="B107" s="107"/>
      <c r="C107" s="107"/>
      <c r="D107" s="107" t="s">
        <v>116</v>
      </c>
      <c r="E107" s="107"/>
      <c r="F107" s="107"/>
      <c r="G107" s="107"/>
      <c r="H107" s="103" t="s">
        <v>161</v>
      </c>
    </row>
    <row r="108" spans="1:8" ht="36" x14ac:dyDescent="0.2">
      <c r="A108" s="34"/>
      <c r="B108" s="8" t="s">
        <v>70</v>
      </c>
      <c r="C108" s="9">
        <f>(E105+C105)</f>
        <v>1039</v>
      </c>
      <c r="D108" s="9" t="s">
        <v>73</v>
      </c>
      <c r="E108" s="9">
        <v>2</v>
      </c>
      <c r="F108" s="9" t="s">
        <v>42</v>
      </c>
      <c r="G108" s="9" t="s">
        <v>59</v>
      </c>
      <c r="H108" s="134" t="s">
        <v>211</v>
      </c>
    </row>
    <row r="109" spans="1:8" ht="111" x14ac:dyDescent="0.2">
      <c r="A109" s="34"/>
      <c r="B109" s="8" t="s">
        <v>71</v>
      </c>
      <c r="C109" s="9">
        <f t="shared" si="0"/>
        <v>1041</v>
      </c>
      <c r="D109" s="9" t="s">
        <v>73</v>
      </c>
      <c r="E109" s="9">
        <v>10</v>
      </c>
      <c r="F109" s="9" t="s">
        <v>42</v>
      </c>
      <c r="G109" s="9" t="s">
        <v>59</v>
      </c>
      <c r="H109" s="35" t="s">
        <v>164</v>
      </c>
    </row>
    <row r="110" spans="1:8" ht="24" x14ac:dyDescent="0.2">
      <c r="A110" s="28"/>
      <c r="B110" s="3" t="s">
        <v>72</v>
      </c>
      <c r="C110" s="6">
        <f t="shared" si="0"/>
        <v>1051</v>
      </c>
      <c r="D110" s="6" t="s">
        <v>73</v>
      </c>
      <c r="E110" s="6">
        <v>1</v>
      </c>
      <c r="F110" s="9" t="s">
        <v>42</v>
      </c>
      <c r="G110" s="9" t="s">
        <v>59</v>
      </c>
      <c r="H110" s="43" t="s">
        <v>139</v>
      </c>
    </row>
    <row r="111" spans="1:8" ht="24" x14ac:dyDescent="0.2">
      <c r="A111" s="34"/>
      <c r="B111" s="8" t="s">
        <v>12</v>
      </c>
      <c r="C111" s="9">
        <v>1056</v>
      </c>
      <c r="D111" s="9">
        <v>9</v>
      </c>
      <c r="E111" s="9">
        <v>8</v>
      </c>
      <c r="F111" s="9" t="s">
        <v>59</v>
      </c>
      <c r="G111" s="9" t="s">
        <v>46</v>
      </c>
      <c r="H111" s="35" t="s">
        <v>13</v>
      </c>
    </row>
    <row r="112" spans="1:8" s="1" customFormat="1" ht="132" x14ac:dyDescent="0.2">
      <c r="A112" s="34"/>
      <c r="B112" s="8" t="s">
        <v>14</v>
      </c>
      <c r="C112" s="9">
        <f t="shared" si="0"/>
        <v>1064</v>
      </c>
      <c r="D112" s="9">
        <v>9</v>
      </c>
      <c r="E112" s="9">
        <v>10</v>
      </c>
      <c r="F112" s="9" t="s">
        <v>59</v>
      </c>
      <c r="G112" s="9" t="s">
        <v>46</v>
      </c>
      <c r="H112" s="44" t="s">
        <v>147</v>
      </c>
    </row>
    <row r="113" spans="1:8" x14ac:dyDescent="0.2">
      <c r="A113" s="37"/>
      <c r="B113" s="17"/>
      <c r="C113" s="18"/>
      <c r="D113" s="18"/>
      <c r="E113" s="18"/>
      <c r="F113" s="18"/>
      <c r="G113" s="18"/>
      <c r="H113" s="42"/>
    </row>
    <row r="114" spans="1:8" s="1" customFormat="1" ht="15.75" x14ac:dyDescent="0.25">
      <c r="A114" s="28"/>
      <c r="B114" s="3"/>
      <c r="C114" s="6"/>
      <c r="D114" s="6"/>
      <c r="E114" s="6"/>
      <c r="F114" s="6"/>
      <c r="G114" s="6"/>
      <c r="H114" s="22" t="s">
        <v>84</v>
      </c>
    </row>
    <row r="115" spans="1:8" ht="15" x14ac:dyDescent="0.25">
      <c r="A115" s="34"/>
      <c r="B115" s="8" t="s">
        <v>69</v>
      </c>
      <c r="C115" s="21">
        <v>1085</v>
      </c>
      <c r="D115" s="9" t="s">
        <v>73</v>
      </c>
      <c r="E115" s="9">
        <v>1</v>
      </c>
      <c r="F115" s="9" t="s">
        <v>42</v>
      </c>
      <c r="G115" s="9" t="s">
        <v>59</v>
      </c>
      <c r="H115" s="35" t="s">
        <v>97</v>
      </c>
    </row>
    <row r="116" spans="1:8" s="10" customFormat="1" ht="25.5" x14ac:dyDescent="0.2">
      <c r="A116" s="28"/>
      <c r="B116" s="3" t="s">
        <v>67</v>
      </c>
      <c r="C116" s="6">
        <f>(E115+C115)</f>
        <v>1086</v>
      </c>
      <c r="D116" s="6">
        <v>9</v>
      </c>
      <c r="E116" s="6">
        <v>8</v>
      </c>
      <c r="F116" s="9" t="s">
        <v>42</v>
      </c>
      <c r="G116" s="9" t="s">
        <v>59</v>
      </c>
      <c r="H116" s="16" t="s">
        <v>23</v>
      </c>
    </row>
    <row r="117" spans="1:8" s="10" customFormat="1" ht="72" customHeight="1" x14ac:dyDescent="0.2">
      <c r="A117" s="108" t="s">
        <v>140</v>
      </c>
      <c r="B117" s="109"/>
      <c r="C117" s="110"/>
      <c r="D117" s="107" t="s">
        <v>148</v>
      </c>
      <c r="E117" s="107"/>
      <c r="F117" s="107"/>
      <c r="G117" s="107"/>
      <c r="H117" s="103" t="s">
        <v>162</v>
      </c>
    </row>
    <row r="118" spans="1:8" ht="96" customHeight="1" x14ac:dyDescent="0.2">
      <c r="A118" s="111" t="s">
        <v>101</v>
      </c>
      <c r="B118" s="107"/>
      <c r="C118" s="107"/>
      <c r="D118" s="107" t="s">
        <v>116</v>
      </c>
      <c r="E118" s="107"/>
      <c r="F118" s="107"/>
      <c r="G118" s="107"/>
      <c r="H118" s="103" t="s">
        <v>161</v>
      </c>
    </row>
    <row r="119" spans="1:8" s="1" customFormat="1" ht="36" x14ac:dyDescent="0.2">
      <c r="A119" s="34"/>
      <c r="B119" s="8" t="s">
        <v>70</v>
      </c>
      <c r="C119" s="9">
        <f>(E116+C116)</f>
        <v>1094</v>
      </c>
      <c r="D119" s="9" t="s">
        <v>73</v>
      </c>
      <c r="E119" s="9">
        <v>2</v>
      </c>
      <c r="F119" s="9" t="s">
        <v>42</v>
      </c>
      <c r="G119" s="9" t="s">
        <v>59</v>
      </c>
      <c r="H119" s="135" t="s">
        <v>211</v>
      </c>
    </row>
    <row r="120" spans="1:8" s="1" customFormat="1" ht="108" x14ac:dyDescent="0.2">
      <c r="A120" s="34"/>
      <c r="B120" s="8" t="s">
        <v>71</v>
      </c>
      <c r="C120" s="9">
        <f>(E119+C119)</f>
        <v>1096</v>
      </c>
      <c r="D120" s="9" t="s">
        <v>73</v>
      </c>
      <c r="E120" s="9">
        <v>10</v>
      </c>
      <c r="F120" s="9" t="s">
        <v>42</v>
      </c>
      <c r="G120" s="9" t="s">
        <v>59</v>
      </c>
      <c r="H120" s="35" t="s">
        <v>165</v>
      </c>
    </row>
    <row r="121" spans="1:8" s="1" customFormat="1" ht="24" x14ac:dyDescent="0.2">
      <c r="A121" s="34"/>
      <c r="B121" s="8" t="s">
        <v>72</v>
      </c>
      <c r="C121" s="9">
        <f>(E120+C120)</f>
        <v>1106</v>
      </c>
      <c r="D121" s="9" t="s">
        <v>73</v>
      </c>
      <c r="E121" s="9">
        <v>1</v>
      </c>
      <c r="F121" s="9" t="s">
        <v>42</v>
      </c>
      <c r="G121" s="9" t="s">
        <v>59</v>
      </c>
      <c r="H121" s="40" t="s">
        <v>139</v>
      </c>
    </row>
    <row r="122" spans="1:8" s="1" customFormat="1" ht="24" x14ac:dyDescent="0.2">
      <c r="A122" s="34"/>
      <c r="B122" s="8" t="s">
        <v>12</v>
      </c>
      <c r="C122" s="9">
        <v>1111</v>
      </c>
      <c r="D122" s="9">
        <v>9</v>
      </c>
      <c r="E122" s="9">
        <v>8</v>
      </c>
      <c r="F122" s="9" t="s">
        <v>59</v>
      </c>
      <c r="G122" s="9" t="s">
        <v>46</v>
      </c>
      <c r="H122" s="35" t="s">
        <v>13</v>
      </c>
    </row>
    <row r="123" spans="1:8" s="1" customFormat="1" ht="132" x14ac:dyDescent="0.2">
      <c r="A123" s="34"/>
      <c r="B123" s="8" t="s">
        <v>14</v>
      </c>
      <c r="C123" s="9">
        <f>(E122+C122)</f>
        <v>1119</v>
      </c>
      <c r="D123" s="9">
        <v>9</v>
      </c>
      <c r="E123" s="9">
        <v>10</v>
      </c>
      <c r="F123" s="9" t="s">
        <v>59</v>
      </c>
      <c r="G123" s="9" t="s">
        <v>46</v>
      </c>
      <c r="H123" s="44" t="s">
        <v>15</v>
      </c>
    </row>
    <row r="124" spans="1:8" x14ac:dyDescent="0.2">
      <c r="A124" s="37"/>
      <c r="B124" s="17"/>
      <c r="C124" s="18"/>
      <c r="D124" s="18"/>
      <c r="E124" s="18"/>
      <c r="F124" s="18"/>
      <c r="G124" s="18"/>
      <c r="H124" s="42"/>
    </row>
    <row r="125" spans="1:8" s="1" customFormat="1" ht="15.75" x14ac:dyDescent="0.25">
      <c r="A125" s="28"/>
      <c r="B125" s="3"/>
      <c r="C125" s="6"/>
      <c r="D125" s="6"/>
      <c r="E125" s="6"/>
      <c r="F125" s="6"/>
      <c r="G125" s="6"/>
      <c r="H125" s="22" t="s">
        <v>85</v>
      </c>
    </row>
    <row r="126" spans="1:8" ht="15" x14ac:dyDescent="0.25">
      <c r="A126" s="34"/>
      <c r="B126" s="8" t="s">
        <v>69</v>
      </c>
      <c r="C126" s="21">
        <v>1140</v>
      </c>
      <c r="D126" s="9" t="s">
        <v>73</v>
      </c>
      <c r="E126" s="9">
        <v>1</v>
      </c>
      <c r="F126" s="9" t="s">
        <v>42</v>
      </c>
      <c r="G126" s="9" t="s">
        <v>59</v>
      </c>
      <c r="H126" s="35" t="s">
        <v>98</v>
      </c>
    </row>
    <row r="127" spans="1:8" s="10" customFormat="1" ht="25.5" x14ac:dyDescent="0.2">
      <c r="A127" s="28"/>
      <c r="B127" s="3" t="s">
        <v>67</v>
      </c>
      <c r="C127" s="6">
        <f>(E126+C126)</f>
        <v>1141</v>
      </c>
      <c r="D127" s="6">
        <v>9</v>
      </c>
      <c r="E127" s="6">
        <v>8</v>
      </c>
      <c r="F127" s="9" t="s">
        <v>42</v>
      </c>
      <c r="G127" s="9" t="s">
        <v>59</v>
      </c>
      <c r="H127" s="16" t="s">
        <v>22</v>
      </c>
    </row>
    <row r="128" spans="1:8" s="10" customFormat="1" ht="72" customHeight="1" x14ac:dyDescent="0.2">
      <c r="A128" s="108" t="s">
        <v>140</v>
      </c>
      <c r="B128" s="109"/>
      <c r="C128" s="110"/>
      <c r="D128" s="107" t="s">
        <v>148</v>
      </c>
      <c r="E128" s="107"/>
      <c r="F128" s="107"/>
      <c r="G128" s="107"/>
      <c r="H128" s="103" t="s">
        <v>162</v>
      </c>
    </row>
    <row r="129" spans="1:8" ht="96" customHeight="1" x14ac:dyDescent="0.2">
      <c r="A129" s="111" t="s">
        <v>101</v>
      </c>
      <c r="B129" s="107"/>
      <c r="C129" s="107"/>
      <c r="D129" s="107" t="s">
        <v>116</v>
      </c>
      <c r="E129" s="107"/>
      <c r="F129" s="107"/>
      <c r="G129" s="107"/>
      <c r="H129" s="103" t="s">
        <v>161</v>
      </c>
    </row>
    <row r="130" spans="1:8" s="1" customFormat="1" ht="36" x14ac:dyDescent="0.2">
      <c r="A130" s="34"/>
      <c r="B130" s="8" t="s">
        <v>70</v>
      </c>
      <c r="C130" s="9">
        <f>(E127+C127)</f>
        <v>1149</v>
      </c>
      <c r="D130" s="9" t="s">
        <v>73</v>
      </c>
      <c r="E130" s="9">
        <v>2</v>
      </c>
      <c r="F130" s="9" t="s">
        <v>42</v>
      </c>
      <c r="G130" s="9" t="s">
        <v>59</v>
      </c>
      <c r="H130" s="136" t="s">
        <v>211</v>
      </c>
    </row>
    <row r="131" spans="1:8" s="1" customFormat="1" ht="108" x14ac:dyDescent="0.2">
      <c r="A131" s="34"/>
      <c r="B131" s="8" t="s">
        <v>71</v>
      </c>
      <c r="C131" s="9">
        <f>(E130+C130)</f>
        <v>1151</v>
      </c>
      <c r="D131" s="9" t="s">
        <v>73</v>
      </c>
      <c r="E131" s="9">
        <v>10</v>
      </c>
      <c r="F131" s="9" t="s">
        <v>42</v>
      </c>
      <c r="G131" s="9" t="s">
        <v>59</v>
      </c>
      <c r="H131" s="35" t="s">
        <v>166</v>
      </c>
    </row>
    <row r="132" spans="1:8" s="1" customFormat="1" ht="24" x14ac:dyDescent="0.2">
      <c r="A132" s="34"/>
      <c r="B132" s="8" t="s">
        <v>72</v>
      </c>
      <c r="C132" s="9">
        <f>(E131+C131)</f>
        <v>1161</v>
      </c>
      <c r="D132" s="9" t="s">
        <v>73</v>
      </c>
      <c r="E132" s="9">
        <v>1</v>
      </c>
      <c r="F132" s="9" t="s">
        <v>42</v>
      </c>
      <c r="G132" s="9" t="s">
        <v>59</v>
      </c>
      <c r="H132" s="40" t="s">
        <v>139</v>
      </c>
    </row>
    <row r="133" spans="1:8" s="1" customFormat="1" ht="24" x14ac:dyDescent="0.2">
      <c r="A133" s="34"/>
      <c r="B133" s="8" t="s">
        <v>12</v>
      </c>
      <c r="C133" s="9">
        <v>1166</v>
      </c>
      <c r="D133" s="9">
        <v>9</v>
      </c>
      <c r="E133" s="9">
        <v>8</v>
      </c>
      <c r="F133" s="9" t="s">
        <v>59</v>
      </c>
      <c r="G133" s="9" t="s">
        <v>46</v>
      </c>
      <c r="H133" s="35" t="s">
        <v>13</v>
      </c>
    </row>
    <row r="134" spans="1:8" s="1" customFormat="1" ht="132" x14ac:dyDescent="0.2">
      <c r="A134" s="34"/>
      <c r="B134" s="8" t="s">
        <v>14</v>
      </c>
      <c r="C134" s="9">
        <f>(E133+C133)</f>
        <v>1174</v>
      </c>
      <c r="D134" s="9">
        <v>9</v>
      </c>
      <c r="E134" s="9">
        <v>10</v>
      </c>
      <c r="F134" s="9" t="s">
        <v>59</v>
      </c>
      <c r="G134" s="9" t="s">
        <v>46</v>
      </c>
      <c r="H134" s="44" t="s">
        <v>16</v>
      </c>
    </row>
    <row r="135" spans="1:8" x14ac:dyDescent="0.2">
      <c r="A135" s="37"/>
      <c r="B135" s="17"/>
      <c r="C135" s="18"/>
      <c r="D135" s="18"/>
      <c r="E135" s="18"/>
      <c r="F135" s="18"/>
      <c r="G135" s="18"/>
      <c r="H135" s="42"/>
    </row>
    <row r="136" spans="1:8" ht="15.75" x14ac:dyDescent="0.25">
      <c r="A136" s="28"/>
      <c r="H136" s="22" t="s">
        <v>11</v>
      </c>
    </row>
    <row r="137" spans="1:8" ht="15" x14ac:dyDescent="0.25">
      <c r="A137" s="34"/>
      <c r="B137" s="8" t="s">
        <v>69</v>
      </c>
      <c r="C137" s="21">
        <v>1195</v>
      </c>
      <c r="D137" s="9" t="s">
        <v>73</v>
      </c>
      <c r="E137" s="9">
        <v>1</v>
      </c>
      <c r="F137" s="9" t="s">
        <v>42</v>
      </c>
      <c r="G137" s="9" t="s">
        <v>59</v>
      </c>
      <c r="H137" s="35" t="s">
        <v>117</v>
      </c>
    </row>
    <row r="138" spans="1:8" s="10" customFormat="1" ht="25.5" x14ac:dyDescent="0.2">
      <c r="A138" s="28"/>
      <c r="B138" s="3" t="s">
        <v>67</v>
      </c>
      <c r="C138" s="6">
        <f>(E137+C137)</f>
        <v>1196</v>
      </c>
      <c r="D138" s="6">
        <v>9</v>
      </c>
      <c r="E138" s="6">
        <v>8</v>
      </c>
      <c r="F138" s="9" t="s">
        <v>42</v>
      </c>
      <c r="G138" s="9" t="s">
        <v>59</v>
      </c>
      <c r="H138" s="16" t="s">
        <v>23</v>
      </c>
    </row>
    <row r="139" spans="1:8" s="10" customFormat="1" ht="72" customHeight="1" x14ac:dyDescent="0.2">
      <c r="A139" s="108" t="s">
        <v>140</v>
      </c>
      <c r="B139" s="109"/>
      <c r="C139" s="110"/>
      <c r="D139" s="107" t="s">
        <v>148</v>
      </c>
      <c r="E139" s="107"/>
      <c r="F139" s="107"/>
      <c r="G139" s="107"/>
      <c r="H139" s="103" t="s">
        <v>162</v>
      </c>
    </row>
    <row r="140" spans="1:8" ht="96" customHeight="1" x14ac:dyDescent="0.2">
      <c r="A140" s="111" t="s">
        <v>101</v>
      </c>
      <c r="B140" s="107"/>
      <c r="C140" s="107"/>
      <c r="D140" s="107" t="s">
        <v>116</v>
      </c>
      <c r="E140" s="107"/>
      <c r="F140" s="107"/>
      <c r="G140" s="107"/>
      <c r="H140" s="103" t="s">
        <v>161</v>
      </c>
    </row>
    <row r="141" spans="1:8" ht="36" x14ac:dyDescent="0.2">
      <c r="A141" s="34"/>
      <c r="B141" s="8" t="s">
        <v>70</v>
      </c>
      <c r="C141" s="9">
        <f>(E138+C138)</f>
        <v>1204</v>
      </c>
      <c r="D141" s="9" t="s">
        <v>73</v>
      </c>
      <c r="E141" s="9">
        <v>2</v>
      </c>
      <c r="F141" s="9" t="s">
        <v>42</v>
      </c>
      <c r="G141" s="9" t="s">
        <v>59</v>
      </c>
      <c r="H141" s="137" t="s">
        <v>211</v>
      </c>
    </row>
    <row r="142" spans="1:8" ht="108" x14ac:dyDescent="0.2">
      <c r="A142" s="34"/>
      <c r="B142" s="8" t="s">
        <v>71</v>
      </c>
      <c r="C142" s="9">
        <f>(E141+C141)</f>
        <v>1206</v>
      </c>
      <c r="D142" s="9" t="s">
        <v>73</v>
      </c>
      <c r="E142" s="9">
        <v>10</v>
      </c>
      <c r="F142" s="9" t="s">
        <v>42</v>
      </c>
      <c r="G142" s="9" t="s">
        <v>59</v>
      </c>
      <c r="H142" s="35" t="s">
        <v>167</v>
      </c>
    </row>
    <row r="143" spans="1:8" ht="24" x14ac:dyDescent="0.2">
      <c r="A143" s="28"/>
      <c r="B143" s="3" t="s">
        <v>72</v>
      </c>
      <c r="C143" s="6">
        <f>(E142+C142)</f>
        <v>1216</v>
      </c>
      <c r="D143" s="6" t="s">
        <v>73</v>
      </c>
      <c r="E143" s="6">
        <v>1</v>
      </c>
      <c r="F143" s="9" t="s">
        <v>42</v>
      </c>
      <c r="G143" s="9" t="s">
        <v>59</v>
      </c>
      <c r="H143" s="43" t="s">
        <v>139</v>
      </c>
    </row>
    <row r="144" spans="1:8" ht="24" x14ac:dyDescent="0.2">
      <c r="A144" s="34"/>
      <c r="B144" s="8" t="s">
        <v>12</v>
      </c>
      <c r="C144" s="6">
        <f>C143+D144</f>
        <v>1221</v>
      </c>
      <c r="D144" s="9">
        <v>5</v>
      </c>
      <c r="E144" s="9">
        <v>8</v>
      </c>
      <c r="F144" s="9" t="s">
        <v>59</v>
      </c>
      <c r="G144" s="9" t="s">
        <v>46</v>
      </c>
      <c r="H144" s="35" t="s">
        <v>13</v>
      </c>
    </row>
    <row r="145" spans="1:8" s="1" customFormat="1" ht="156" x14ac:dyDescent="0.2">
      <c r="A145" s="34"/>
      <c r="B145" s="8" t="s">
        <v>14</v>
      </c>
      <c r="C145" s="9">
        <f>(E144+C144)</f>
        <v>1229</v>
      </c>
      <c r="D145" s="9">
        <v>9</v>
      </c>
      <c r="E145" s="9">
        <v>10</v>
      </c>
      <c r="F145" s="9" t="s">
        <v>59</v>
      </c>
      <c r="G145" s="9" t="s">
        <v>46</v>
      </c>
      <c r="H145" s="44" t="s">
        <v>17</v>
      </c>
    </row>
    <row r="146" spans="1:8" x14ac:dyDescent="0.2">
      <c r="A146" s="37"/>
      <c r="B146" s="17"/>
      <c r="C146" s="18"/>
      <c r="D146" s="18"/>
      <c r="E146" s="18"/>
      <c r="F146" s="18"/>
      <c r="G146" s="18"/>
      <c r="H146" s="42"/>
    </row>
    <row r="147" spans="1:8" s="1" customFormat="1" ht="15.75" x14ac:dyDescent="0.25">
      <c r="A147" s="28"/>
      <c r="B147" s="3"/>
      <c r="C147" s="6"/>
      <c r="D147" s="6"/>
      <c r="E147" s="6"/>
      <c r="F147" s="6"/>
      <c r="G147" s="6"/>
      <c r="H147" s="22" t="s">
        <v>118</v>
      </c>
    </row>
    <row r="148" spans="1:8" ht="15" x14ac:dyDescent="0.25">
      <c r="A148" s="34"/>
      <c r="B148" s="8" t="s">
        <v>69</v>
      </c>
      <c r="C148" s="21">
        <v>1250</v>
      </c>
      <c r="D148" s="9" t="s">
        <v>73</v>
      </c>
      <c r="E148" s="9">
        <v>1</v>
      </c>
      <c r="F148" s="9" t="s">
        <v>42</v>
      </c>
      <c r="G148" s="9" t="s">
        <v>59</v>
      </c>
      <c r="H148" s="35" t="s">
        <v>121</v>
      </c>
    </row>
    <row r="149" spans="1:8" s="10" customFormat="1" ht="25.5" x14ac:dyDescent="0.2">
      <c r="A149" s="28"/>
      <c r="B149" s="3" t="s">
        <v>67</v>
      </c>
      <c r="C149" s="6">
        <f>(E148+C148)</f>
        <v>1251</v>
      </c>
      <c r="D149" s="6">
        <v>9</v>
      </c>
      <c r="E149" s="6">
        <v>8</v>
      </c>
      <c r="F149" s="9" t="s">
        <v>42</v>
      </c>
      <c r="G149" s="9" t="s">
        <v>59</v>
      </c>
      <c r="H149" s="16" t="s">
        <v>23</v>
      </c>
    </row>
    <row r="150" spans="1:8" s="10" customFormat="1" ht="72" customHeight="1" x14ac:dyDescent="0.2">
      <c r="A150" s="108" t="s">
        <v>140</v>
      </c>
      <c r="B150" s="109"/>
      <c r="C150" s="110"/>
      <c r="D150" s="107" t="s">
        <v>148</v>
      </c>
      <c r="E150" s="107"/>
      <c r="F150" s="107"/>
      <c r="G150" s="107"/>
      <c r="H150" s="103" t="s">
        <v>162</v>
      </c>
    </row>
    <row r="151" spans="1:8" ht="96" customHeight="1" x14ac:dyDescent="0.2">
      <c r="A151" s="111" t="s">
        <v>101</v>
      </c>
      <c r="B151" s="107"/>
      <c r="C151" s="107"/>
      <c r="D151" s="107" t="s">
        <v>116</v>
      </c>
      <c r="E151" s="107"/>
      <c r="F151" s="107"/>
      <c r="G151" s="107"/>
      <c r="H151" s="103" t="s">
        <v>161</v>
      </c>
    </row>
    <row r="152" spans="1:8" s="1" customFormat="1" ht="36" x14ac:dyDescent="0.2">
      <c r="A152" s="34"/>
      <c r="B152" s="8" t="s">
        <v>70</v>
      </c>
      <c r="C152" s="9">
        <f>(E149+C149)</f>
        <v>1259</v>
      </c>
      <c r="D152" s="9" t="s">
        <v>73</v>
      </c>
      <c r="E152" s="9">
        <v>2</v>
      </c>
      <c r="F152" s="9" t="s">
        <v>42</v>
      </c>
      <c r="G152" s="9" t="s">
        <v>59</v>
      </c>
      <c r="H152" s="138" t="s">
        <v>211</v>
      </c>
    </row>
    <row r="153" spans="1:8" s="1" customFormat="1" ht="108" x14ac:dyDescent="0.2">
      <c r="A153" s="34"/>
      <c r="B153" s="8" t="s">
        <v>71</v>
      </c>
      <c r="C153" s="9">
        <f>(E152+C152)</f>
        <v>1261</v>
      </c>
      <c r="D153" s="9" t="s">
        <v>73</v>
      </c>
      <c r="E153" s="9">
        <v>10</v>
      </c>
      <c r="F153" s="9" t="s">
        <v>42</v>
      </c>
      <c r="G153" s="9" t="s">
        <v>59</v>
      </c>
      <c r="H153" s="35" t="s">
        <v>168</v>
      </c>
    </row>
    <row r="154" spans="1:8" s="1" customFormat="1" ht="24" x14ac:dyDescent="0.2">
      <c r="A154" s="34"/>
      <c r="B154" s="8" t="s">
        <v>72</v>
      </c>
      <c r="C154" s="9">
        <f>(E153+C153)</f>
        <v>1271</v>
      </c>
      <c r="D154" s="9" t="s">
        <v>73</v>
      </c>
      <c r="E154" s="9">
        <v>1</v>
      </c>
      <c r="F154" s="9" t="s">
        <v>42</v>
      </c>
      <c r="G154" s="9" t="s">
        <v>59</v>
      </c>
      <c r="H154" s="40" t="s">
        <v>139</v>
      </c>
    </row>
    <row r="155" spans="1:8" s="1" customFormat="1" ht="24" x14ac:dyDescent="0.2">
      <c r="A155" s="34"/>
      <c r="B155" s="8" t="s">
        <v>12</v>
      </c>
      <c r="C155" s="9">
        <f>C154+D155</f>
        <v>1276</v>
      </c>
      <c r="D155" s="9">
        <v>5</v>
      </c>
      <c r="E155" s="9">
        <v>8</v>
      </c>
      <c r="F155" s="9" t="s">
        <v>59</v>
      </c>
      <c r="G155" s="9" t="s">
        <v>46</v>
      </c>
      <c r="H155" s="35" t="s">
        <v>13</v>
      </c>
    </row>
    <row r="156" spans="1:8" s="1" customFormat="1" ht="168" x14ac:dyDescent="0.2">
      <c r="A156" s="34"/>
      <c r="B156" s="8" t="s">
        <v>14</v>
      </c>
      <c r="C156" s="9">
        <f>(E155+C155)</f>
        <v>1284</v>
      </c>
      <c r="D156" s="9">
        <v>9</v>
      </c>
      <c r="E156" s="9">
        <v>10</v>
      </c>
      <c r="F156" s="9" t="s">
        <v>59</v>
      </c>
      <c r="G156" s="9" t="s">
        <v>46</v>
      </c>
      <c r="H156" s="44" t="s">
        <v>18</v>
      </c>
    </row>
    <row r="157" spans="1:8" x14ac:dyDescent="0.2">
      <c r="A157" s="37"/>
      <c r="B157" s="17"/>
      <c r="C157" s="18"/>
      <c r="D157" s="18"/>
      <c r="E157" s="18"/>
      <c r="F157" s="18"/>
      <c r="G157" s="18"/>
      <c r="H157" s="42"/>
    </row>
    <row r="158" spans="1:8" s="1" customFormat="1" ht="15.75" x14ac:dyDescent="0.25">
      <c r="A158" s="28"/>
      <c r="B158" s="3"/>
      <c r="C158" s="6"/>
      <c r="D158" s="6"/>
      <c r="E158" s="6"/>
      <c r="F158" s="6"/>
      <c r="G158" s="6"/>
      <c r="H158" s="22" t="s">
        <v>119</v>
      </c>
    </row>
    <row r="159" spans="1:8" ht="15" x14ac:dyDescent="0.25">
      <c r="A159" s="34"/>
      <c r="B159" s="8" t="s">
        <v>69</v>
      </c>
      <c r="C159" s="21">
        <v>1305</v>
      </c>
      <c r="D159" s="9" t="s">
        <v>73</v>
      </c>
      <c r="E159" s="9">
        <v>1</v>
      </c>
      <c r="F159" s="9" t="s">
        <v>42</v>
      </c>
      <c r="G159" s="9" t="s">
        <v>59</v>
      </c>
      <c r="H159" s="35" t="s">
        <v>120</v>
      </c>
    </row>
    <row r="160" spans="1:8" s="10" customFormat="1" ht="25.5" x14ac:dyDescent="0.2">
      <c r="A160" s="28"/>
      <c r="B160" s="3" t="s">
        <v>67</v>
      </c>
      <c r="C160" s="6">
        <f>(E159+C159)</f>
        <v>1306</v>
      </c>
      <c r="D160" s="6">
        <v>9</v>
      </c>
      <c r="E160" s="6">
        <v>8</v>
      </c>
      <c r="F160" s="9" t="s">
        <v>42</v>
      </c>
      <c r="G160" s="9" t="s">
        <v>59</v>
      </c>
      <c r="H160" s="16" t="s">
        <v>23</v>
      </c>
    </row>
    <row r="161" spans="1:8" s="10" customFormat="1" ht="72" customHeight="1" x14ac:dyDescent="0.2">
      <c r="A161" s="108" t="s">
        <v>140</v>
      </c>
      <c r="B161" s="109"/>
      <c r="C161" s="110"/>
      <c r="D161" s="107" t="s">
        <v>148</v>
      </c>
      <c r="E161" s="107"/>
      <c r="F161" s="107"/>
      <c r="G161" s="107"/>
      <c r="H161" s="103" t="s">
        <v>162</v>
      </c>
    </row>
    <row r="162" spans="1:8" ht="96" customHeight="1" x14ac:dyDescent="0.2">
      <c r="A162" s="111" t="s">
        <v>101</v>
      </c>
      <c r="B162" s="107"/>
      <c r="C162" s="107"/>
      <c r="D162" s="107" t="s">
        <v>116</v>
      </c>
      <c r="E162" s="107"/>
      <c r="F162" s="107"/>
      <c r="G162" s="107"/>
      <c r="H162" s="103" t="s">
        <v>161</v>
      </c>
    </row>
    <row r="163" spans="1:8" s="1" customFormat="1" ht="36" x14ac:dyDescent="0.2">
      <c r="A163" s="34"/>
      <c r="B163" s="8" t="s">
        <v>70</v>
      </c>
      <c r="C163" s="9">
        <f>(E160+C160)</f>
        <v>1314</v>
      </c>
      <c r="D163" s="9" t="s">
        <v>73</v>
      </c>
      <c r="E163" s="9">
        <v>2</v>
      </c>
      <c r="F163" s="9" t="s">
        <v>42</v>
      </c>
      <c r="G163" s="9" t="s">
        <v>59</v>
      </c>
      <c r="H163" s="139" t="s">
        <v>211</v>
      </c>
    </row>
    <row r="164" spans="1:8" s="1" customFormat="1" ht="108" x14ac:dyDescent="0.2">
      <c r="A164" s="34"/>
      <c r="B164" s="8" t="s">
        <v>71</v>
      </c>
      <c r="C164" s="9">
        <f>(E163+C163)</f>
        <v>1316</v>
      </c>
      <c r="D164" s="9" t="s">
        <v>73</v>
      </c>
      <c r="E164" s="9">
        <v>10</v>
      </c>
      <c r="F164" s="9" t="s">
        <v>42</v>
      </c>
      <c r="G164" s="9" t="s">
        <v>59</v>
      </c>
      <c r="H164" s="35" t="s">
        <v>169</v>
      </c>
    </row>
    <row r="165" spans="1:8" s="1" customFormat="1" ht="24" x14ac:dyDescent="0.2">
      <c r="A165" s="34"/>
      <c r="B165" s="8" t="s">
        <v>72</v>
      </c>
      <c r="C165" s="9">
        <f>(E164+C164)</f>
        <v>1326</v>
      </c>
      <c r="D165" s="9" t="s">
        <v>73</v>
      </c>
      <c r="E165" s="9">
        <v>1</v>
      </c>
      <c r="F165" s="9" t="s">
        <v>42</v>
      </c>
      <c r="G165" s="9" t="s">
        <v>59</v>
      </c>
      <c r="H165" s="40" t="s">
        <v>139</v>
      </c>
    </row>
    <row r="166" spans="1:8" s="1" customFormat="1" ht="24" x14ac:dyDescent="0.2">
      <c r="A166" s="34"/>
      <c r="B166" s="8" t="s">
        <v>12</v>
      </c>
      <c r="C166" s="9">
        <f>C165+D166</f>
        <v>1331</v>
      </c>
      <c r="D166" s="9">
        <v>5</v>
      </c>
      <c r="E166" s="9">
        <v>8</v>
      </c>
      <c r="F166" s="9" t="s">
        <v>59</v>
      </c>
      <c r="G166" s="9" t="s">
        <v>46</v>
      </c>
      <c r="H166" s="35" t="s">
        <v>13</v>
      </c>
    </row>
    <row r="167" spans="1:8" s="1" customFormat="1" ht="168" x14ac:dyDescent="0.2">
      <c r="A167" s="34"/>
      <c r="B167" s="8" t="s">
        <v>14</v>
      </c>
      <c r="C167" s="9">
        <f>C166+D167</f>
        <v>1339</v>
      </c>
      <c r="D167" s="9">
        <v>8</v>
      </c>
      <c r="E167" s="9">
        <v>10</v>
      </c>
      <c r="F167" s="9" t="s">
        <v>59</v>
      </c>
      <c r="G167" s="9" t="s">
        <v>46</v>
      </c>
      <c r="H167" s="44" t="s">
        <v>149</v>
      </c>
    </row>
    <row r="168" spans="1:8" s="1" customFormat="1" x14ac:dyDescent="0.2">
      <c r="A168" s="51"/>
      <c r="B168" s="52"/>
      <c r="C168" s="53"/>
      <c r="D168" s="53"/>
      <c r="E168" s="53"/>
      <c r="F168" s="53"/>
      <c r="G168" s="53"/>
      <c r="H168" s="72"/>
    </row>
    <row r="169" spans="1:8" ht="15.75" x14ac:dyDescent="0.25">
      <c r="A169" s="28"/>
      <c r="C169" s="9"/>
      <c r="H169" s="22" t="s">
        <v>92</v>
      </c>
    </row>
    <row r="170" spans="1:8" ht="15" x14ac:dyDescent="0.25">
      <c r="A170" s="34"/>
      <c r="B170" s="8" t="s">
        <v>69</v>
      </c>
      <c r="C170" s="21">
        <v>1360</v>
      </c>
      <c r="D170" s="9" t="s">
        <v>73</v>
      </c>
      <c r="E170" s="9">
        <v>1</v>
      </c>
      <c r="F170" s="9" t="s">
        <v>42</v>
      </c>
      <c r="G170" s="9" t="s">
        <v>59</v>
      </c>
      <c r="H170" s="35" t="s">
        <v>99</v>
      </c>
    </row>
    <row r="171" spans="1:8" s="10" customFormat="1" ht="25.5" x14ac:dyDescent="0.2">
      <c r="A171" s="28"/>
      <c r="B171" s="3" t="s">
        <v>67</v>
      </c>
      <c r="C171" s="6">
        <f>(E170+C170)</f>
        <v>1361</v>
      </c>
      <c r="D171" s="6">
        <v>9</v>
      </c>
      <c r="E171" s="6">
        <v>8</v>
      </c>
      <c r="F171" s="9" t="s">
        <v>42</v>
      </c>
      <c r="G171" s="9" t="s">
        <v>59</v>
      </c>
      <c r="H171" s="16" t="s">
        <v>23</v>
      </c>
    </row>
    <row r="172" spans="1:8" s="10" customFormat="1" ht="72" customHeight="1" x14ac:dyDescent="0.2">
      <c r="A172" s="108" t="s">
        <v>140</v>
      </c>
      <c r="B172" s="112"/>
      <c r="C172" s="113"/>
      <c r="D172" s="107" t="s">
        <v>148</v>
      </c>
      <c r="E172" s="107"/>
      <c r="F172" s="107"/>
      <c r="G172" s="107"/>
      <c r="H172" s="103" t="s">
        <v>162</v>
      </c>
    </row>
    <row r="173" spans="1:8" ht="72" customHeight="1" x14ac:dyDescent="0.2">
      <c r="A173" s="108" t="s">
        <v>101</v>
      </c>
      <c r="B173" s="112"/>
      <c r="C173" s="113"/>
      <c r="D173" s="107" t="s">
        <v>163</v>
      </c>
      <c r="E173" s="107"/>
      <c r="F173" s="107"/>
      <c r="G173" s="107"/>
      <c r="H173" s="103" t="s">
        <v>160</v>
      </c>
    </row>
    <row r="174" spans="1:8" ht="41.25" customHeight="1" x14ac:dyDescent="0.2">
      <c r="A174" s="28"/>
      <c r="B174" s="8" t="s">
        <v>70</v>
      </c>
      <c r="C174" s="9">
        <f>(E171+C171)</f>
        <v>1369</v>
      </c>
      <c r="D174" s="9" t="s">
        <v>73</v>
      </c>
      <c r="E174" s="9">
        <v>2</v>
      </c>
      <c r="F174" s="9" t="s">
        <v>42</v>
      </c>
      <c r="G174" s="9" t="s">
        <v>59</v>
      </c>
      <c r="H174" s="140" t="s">
        <v>211</v>
      </c>
    </row>
    <row r="175" spans="1:8" ht="63.75" x14ac:dyDescent="0.2">
      <c r="A175" s="34"/>
      <c r="B175" s="8" t="s">
        <v>71</v>
      </c>
      <c r="C175" s="9">
        <f>(E174+C174)</f>
        <v>1371</v>
      </c>
      <c r="D175" s="9" t="s">
        <v>73</v>
      </c>
      <c r="E175" s="9">
        <v>10</v>
      </c>
      <c r="F175" s="9" t="s">
        <v>42</v>
      </c>
      <c r="G175" s="9" t="s">
        <v>59</v>
      </c>
      <c r="H175" s="35" t="s">
        <v>151</v>
      </c>
    </row>
    <row r="176" spans="1:8" ht="24" x14ac:dyDescent="0.2">
      <c r="A176" s="34"/>
      <c r="B176" s="8" t="s">
        <v>72</v>
      </c>
      <c r="C176" s="9">
        <f>(E175+C175)</f>
        <v>1381</v>
      </c>
      <c r="D176" s="9" t="s">
        <v>73</v>
      </c>
      <c r="E176" s="9">
        <v>1</v>
      </c>
      <c r="F176" s="9" t="s">
        <v>42</v>
      </c>
      <c r="G176" s="9" t="s">
        <v>59</v>
      </c>
      <c r="H176" s="40" t="s">
        <v>139</v>
      </c>
    </row>
    <row r="177" spans="1:8" s="1" customFormat="1" x14ac:dyDescent="0.2">
      <c r="A177" s="51"/>
      <c r="B177" s="52"/>
      <c r="C177" s="53"/>
      <c r="D177" s="53"/>
      <c r="E177" s="53"/>
      <c r="F177" s="53"/>
      <c r="G177" s="53"/>
      <c r="H177" s="72"/>
    </row>
    <row r="178" spans="1:8" ht="15.75" x14ac:dyDescent="0.25">
      <c r="A178" s="28"/>
      <c r="C178" s="9"/>
      <c r="H178" s="22" t="s">
        <v>122</v>
      </c>
    </row>
    <row r="179" spans="1:8" ht="15" x14ac:dyDescent="0.25">
      <c r="A179" s="34"/>
      <c r="B179" s="8" t="s">
        <v>69</v>
      </c>
      <c r="C179" s="21">
        <v>1415</v>
      </c>
      <c r="D179" s="9" t="s">
        <v>73</v>
      </c>
      <c r="E179" s="9">
        <v>1</v>
      </c>
      <c r="F179" s="9" t="s">
        <v>42</v>
      </c>
      <c r="G179" s="9" t="s">
        <v>59</v>
      </c>
      <c r="H179" s="35" t="s">
        <v>123</v>
      </c>
    </row>
    <row r="180" spans="1:8" s="10" customFormat="1" ht="25.5" x14ac:dyDescent="0.2">
      <c r="A180" s="28"/>
      <c r="B180" s="3" t="s">
        <v>67</v>
      </c>
      <c r="C180" s="6">
        <f>(E179+C179)</f>
        <v>1416</v>
      </c>
      <c r="D180" s="6">
        <v>9</v>
      </c>
      <c r="E180" s="6">
        <v>8</v>
      </c>
      <c r="F180" s="9" t="s">
        <v>42</v>
      </c>
      <c r="G180" s="9" t="s">
        <v>59</v>
      </c>
      <c r="H180" s="16" t="s">
        <v>23</v>
      </c>
    </row>
    <row r="181" spans="1:8" s="10" customFormat="1" ht="72" customHeight="1" x14ac:dyDescent="0.2">
      <c r="A181" s="108" t="s">
        <v>140</v>
      </c>
      <c r="B181" s="112"/>
      <c r="C181" s="113"/>
      <c r="D181" s="107" t="s">
        <v>148</v>
      </c>
      <c r="E181" s="107"/>
      <c r="F181" s="107"/>
      <c r="G181" s="107"/>
      <c r="H181" s="103" t="s">
        <v>162</v>
      </c>
    </row>
    <row r="182" spans="1:8" ht="72" customHeight="1" x14ac:dyDescent="0.2">
      <c r="A182" s="108" t="s">
        <v>101</v>
      </c>
      <c r="B182" s="112"/>
      <c r="C182" s="113"/>
      <c r="D182" s="107" t="s">
        <v>163</v>
      </c>
      <c r="E182" s="107"/>
      <c r="F182" s="107"/>
      <c r="G182" s="107"/>
      <c r="H182" s="103" t="s">
        <v>160</v>
      </c>
    </row>
    <row r="183" spans="1:8" ht="41.25" customHeight="1" x14ac:dyDescent="0.2">
      <c r="A183" s="28"/>
      <c r="B183" s="8" t="s">
        <v>70</v>
      </c>
      <c r="C183" s="9">
        <f>(E180+C180)</f>
        <v>1424</v>
      </c>
      <c r="D183" s="9" t="s">
        <v>73</v>
      </c>
      <c r="E183" s="9">
        <v>2</v>
      </c>
      <c r="F183" s="9" t="s">
        <v>42</v>
      </c>
      <c r="G183" s="9" t="s">
        <v>59</v>
      </c>
      <c r="H183" s="141" t="s">
        <v>211</v>
      </c>
    </row>
    <row r="184" spans="1:8" ht="54" x14ac:dyDescent="0.25">
      <c r="A184" s="34"/>
      <c r="B184" s="8" t="s">
        <v>71</v>
      </c>
      <c r="C184" s="9">
        <f>(E183+C183)</f>
        <v>1426</v>
      </c>
      <c r="D184" s="9" t="s">
        <v>73</v>
      </c>
      <c r="E184" s="9">
        <v>10</v>
      </c>
      <c r="F184" s="9" t="s">
        <v>42</v>
      </c>
      <c r="G184" s="9" t="s">
        <v>59</v>
      </c>
      <c r="H184" s="35" t="s">
        <v>170</v>
      </c>
    </row>
    <row r="185" spans="1:8" ht="24" x14ac:dyDescent="0.2">
      <c r="A185" s="34"/>
      <c r="B185" s="8" t="s">
        <v>72</v>
      </c>
      <c r="C185" s="9">
        <f>(E184+C184)</f>
        <v>1436</v>
      </c>
      <c r="D185" s="9" t="s">
        <v>73</v>
      </c>
      <c r="E185" s="9">
        <v>1</v>
      </c>
      <c r="F185" s="9" t="s">
        <v>42</v>
      </c>
      <c r="G185" s="9" t="s">
        <v>59</v>
      </c>
      <c r="H185" s="40" t="s">
        <v>139</v>
      </c>
    </row>
    <row r="186" spans="1:8" x14ac:dyDescent="0.2">
      <c r="A186" s="37"/>
      <c r="B186" s="17"/>
      <c r="C186" s="18"/>
      <c r="D186" s="18"/>
      <c r="E186" s="18"/>
      <c r="F186" s="18"/>
      <c r="G186" s="18"/>
      <c r="H186" s="42"/>
    </row>
    <row r="187" spans="1:8" ht="15.75" x14ac:dyDescent="0.25">
      <c r="A187" s="28"/>
      <c r="H187" s="22" t="s">
        <v>125</v>
      </c>
    </row>
    <row r="188" spans="1:8" ht="15" x14ac:dyDescent="0.25">
      <c r="A188" s="34"/>
      <c r="B188" s="8" t="s">
        <v>69</v>
      </c>
      <c r="C188" s="21">
        <v>1470</v>
      </c>
      <c r="D188" s="9" t="s">
        <v>73</v>
      </c>
      <c r="E188" s="9">
        <v>1</v>
      </c>
      <c r="F188" s="9" t="s">
        <v>42</v>
      </c>
      <c r="G188" s="9" t="s">
        <v>59</v>
      </c>
      <c r="H188" s="35" t="s">
        <v>124</v>
      </c>
    </row>
    <row r="189" spans="1:8" s="10" customFormat="1" ht="25.5" x14ac:dyDescent="0.2">
      <c r="A189" s="28"/>
      <c r="B189" s="3" t="s">
        <v>67</v>
      </c>
      <c r="C189" s="6">
        <f>(E188+C188)</f>
        <v>1471</v>
      </c>
      <c r="D189" s="6">
        <v>9</v>
      </c>
      <c r="E189" s="6">
        <v>8</v>
      </c>
      <c r="F189" s="9" t="s">
        <v>42</v>
      </c>
      <c r="G189" s="9" t="s">
        <v>59</v>
      </c>
      <c r="H189" s="16" t="s">
        <v>23</v>
      </c>
    </row>
    <row r="190" spans="1:8" s="10" customFormat="1" ht="72" customHeight="1" x14ac:dyDescent="0.2">
      <c r="A190" s="108" t="s">
        <v>140</v>
      </c>
      <c r="B190" s="109"/>
      <c r="C190" s="110"/>
      <c r="D190" s="107" t="s">
        <v>148</v>
      </c>
      <c r="E190" s="107"/>
      <c r="F190" s="107"/>
      <c r="G190" s="107"/>
      <c r="H190" s="103" t="s">
        <v>162</v>
      </c>
    </row>
    <row r="191" spans="1:8" ht="96" customHeight="1" x14ac:dyDescent="0.2">
      <c r="A191" s="111" t="s">
        <v>101</v>
      </c>
      <c r="B191" s="107"/>
      <c r="C191" s="107"/>
      <c r="D191" s="107" t="s">
        <v>116</v>
      </c>
      <c r="E191" s="107"/>
      <c r="F191" s="107"/>
      <c r="G191" s="107"/>
      <c r="H191" s="103" t="s">
        <v>161</v>
      </c>
    </row>
    <row r="192" spans="1:8" ht="36" x14ac:dyDescent="0.2">
      <c r="A192" s="34"/>
      <c r="B192" s="8" t="s">
        <v>70</v>
      </c>
      <c r="C192" s="9">
        <f>(E189+C189)</f>
        <v>1479</v>
      </c>
      <c r="D192" s="9" t="s">
        <v>73</v>
      </c>
      <c r="E192" s="9">
        <v>2</v>
      </c>
      <c r="F192" s="9" t="s">
        <v>42</v>
      </c>
      <c r="G192" s="9" t="s">
        <v>59</v>
      </c>
      <c r="H192" s="142" t="s">
        <v>211</v>
      </c>
    </row>
    <row r="193" spans="1:8" ht="51" x14ac:dyDescent="0.2">
      <c r="A193" s="34"/>
      <c r="B193" s="8" t="s">
        <v>71</v>
      </c>
      <c r="C193" s="9">
        <f>(E192+C192)</f>
        <v>1481</v>
      </c>
      <c r="D193" s="9" t="s">
        <v>73</v>
      </c>
      <c r="E193" s="9">
        <v>10</v>
      </c>
      <c r="F193" s="9" t="s">
        <v>42</v>
      </c>
      <c r="G193" s="9" t="s">
        <v>59</v>
      </c>
      <c r="H193" s="35" t="s">
        <v>4</v>
      </c>
    </row>
    <row r="194" spans="1:8" ht="24" x14ac:dyDescent="0.2">
      <c r="A194" s="28"/>
      <c r="B194" s="3" t="s">
        <v>72</v>
      </c>
      <c r="C194" s="6">
        <f>(E193+C193)</f>
        <v>1491</v>
      </c>
      <c r="D194" s="6" t="s">
        <v>73</v>
      </c>
      <c r="E194" s="6">
        <v>1</v>
      </c>
      <c r="F194" s="9" t="s">
        <v>42</v>
      </c>
      <c r="G194" s="9" t="s">
        <v>59</v>
      </c>
      <c r="H194" s="43" t="s">
        <v>139</v>
      </c>
    </row>
    <row r="195" spans="1:8" ht="24" x14ac:dyDescent="0.2">
      <c r="A195" s="34"/>
      <c r="B195" s="8" t="s">
        <v>12</v>
      </c>
      <c r="C195" s="6">
        <f>C194+D195</f>
        <v>1496</v>
      </c>
      <c r="D195" s="9">
        <v>5</v>
      </c>
      <c r="E195" s="9">
        <v>8</v>
      </c>
      <c r="F195" s="9" t="s">
        <v>59</v>
      </c>
      <c r="G195" s="9" t="s">
        <v>46</v>
      </c>
      <c r="H195" s="35" t="s">
        <v>13</v>
      </c>
    </row>
    <row r="196" spans="1:8" s="1" customFormat="1" ht="96" x14ac:dyDescent="0.2">
      <c r="A196" s="34"/>
      <c r="B196" s="8" t="s">
        <v>14</v>
      </c>
      <c r="C196" s="9">
        <f>(E195+C195)</f>
        <v>1504</v>
      </c>
      <c r="D196" s="9">
        <v>9</v>
      </c>
      <c r="E196" s="9">
        <v>10</v>
      </c>
      <c r="F196" s="9" t="s">
        <v>59</v>
      </c>
      <c r="G196" s="9" t="s">
        <v>46</v>
      </c>
      <c r="H196" s="44" t="s">
        <v>19</v>
      </c>
    </row>
    <row r="197" spans="1:8" x14ac:dyDescent="0.2">
      <c r="A197" s="45"/>
      <c r="B197" s="23"/>
      <c r="C197" s="25"/>
      <c r="D197" s="24"/>
      <c r="E197" s="24"/>
      <c r="F197" s="24"/>
      <c r="G197" s="24"/>
      <c r="H197" s="46"/>
    </row>
    <row r="198" spans="1:8" ht="15.75" x14ac:dyDescent="0.25">
      <c r="A198" s="28"/>
      <c r="H198" s="22" t="s">
        <v>126</v>
      </c>
    </row>
    <row r="199" spans="1:8" ht="15" x14ac:dyDescent="0.25">
      <c r="A199" s="34"/>
      <c r="B199" s="8" t="s">
        <v>69</v>
      </c>
      <c r="C199" s="21">
        <v>1525</v>
      </c>
      <c r="D199" s="9" t="s">
        <v>73</v>
      </c>
      <c r="E199" s="9">
        <v>1</v>
      </c>
      <c r="F199" s="9" t="s">
        <v>42</v>
      </c>
      <c r="G199" s="9" t="s">
        <v>59</v>
      </c>
      <c r="H199" s="35" t="s">
        <v>127</v>
      </c>
    </row>
    <row r="200" spans="1:8" s="10" customFormat="1" ht="25.5" x14ac:dyDescent="0.2">
      <c r="A200" s="28"/>
      <c r="B200" s="3" t="s">
        <v>67</v>
      </c>
      <c r="C200" s="6">
        <f>(E199+C199)</f>
        <v>1526</v>
      </c>
      <c r="D200" s="6">
        <v>9</v>
      </c>
      <c r="E200" s="6">
        <v>8</v>
      </c>
      <c r="F200" s="9" t="s">
        <v>42</v>
      </c>
      <c r="G200" s="9" t="s">
        <v>59</v>
      </c>
      <c r="H200" s="16" t="s">
        <v>23</v>
      </c>
    </row>
    <row r="201" spans="1:8" s="10" customFormat="1" ht="72" customHeight="1" x14ac:dyDescent="0.2">
      <c r="A201" s="108" t="s">
        <v>140</v>
      </c>
      <c r="B201" s="109"/>
      <c r="C201" s="110"/>
      <c r="D201" s="107" t="s">
        <v>148</v>
      </c>
      <c r="E201" s="107"/>
      <c r="F201" s="107"/>
      <c r="G201" s="107"/>
      <c r="H201" s="103" t="s">
        <v>162</v>
      </c>
    </row>
    <row r="202" spans="1:8" ht="96" customHeight="1" x14ac:dyDescent="0.2">
      <c r="A202" s="111" t="s">
        <v>101</v>
      </c>
      <c r="B202" s="107"/>
      <c r="C202" s="107"/>
      <c r="D202" s="107" t="s">
        <v>116</v>
      </c>
      <c r="E202" s="107"/>
      <c r="F202" s="107"/>
      <c r="G202" s="107"/>
      <c r="H202" s="103" t="s">
        <v>161</v>
      </c>
    </row>
    <row r="203" spans="1:8" ht="36" x14ac:dyDescent="0.2">
      <c r="A203" s="34"/>
      <c r="B203" s="8" t="s">
        <v>70</v>
      </c>
      <c r="C203" s="9">
        <f>(E200+C200)</f>
        <v>1534</v>
      </c>
      <c r="D203" s="9" t="s">
        <v>73</v>
      </c>
      <c r="E203" s="9">
        <v>2</v>
      </c>
      <c r="F203" s="9" t="s">
        <v>42</v>
      </c>
      <c r="G203" s="9" t="s">
        <v>59</v>
      </c>
      <c r="H203" s="143" t="s">
        <v>211</v>
      </c>
    </row>
    <row r="204" spans="1:8" ht="51" x14ac:dyDescent="0.2">
      <c r="A204" s="34"/>
      <c r="B204" s="8" t="s">
        <v>71</v>
      </c>
      <c r="C204" s="9">
        <f>(E203+C203)</f>
        <v>1536</v>
      </c>
      <c r="D204" s="9" t="s">
        <v>73</v>
      </c>
      <c r="E204" s="9">
        <v>10</v>
      </c>
      <c r="F204" s="9" t="s">
        <v>42</v>
      </c>
      <c r="G204" s="9" t="s">
        <v>59</v>
      </c>
      <c r="H204" s="35" t="s">
        <v>5</v>
      </c>
    </row>
    <row r="205" spans="1:8" ht="24" x14ac:dyDescent="0.2">
      <c r="A205" s="28"/>
      <c r="B205" s="3" t="s">
        <v>72</v>
      </c>
      <c r="C205" s="6">
        <f>(E204+C204)</f>
        <v>1546</v>
      </c>
      <c r="D205" s="6" t="s">
        <v>73</v>
      </c>
      <c r="E205" s="6">
        <v>1</v>
      </c>
      <c r="F205" s="9" t="s">
        <v>42</v>
      </c>
      <c r="G205" s="9" t="s">
        <v>59</v>
      </c>
      <c r="H205" s="43" t="s">
        <v>139</v>
      </c>
    </row>
    <row r="206" spans="1:8" ht="24" x14ac:dyDescent="0.2">
      <c r="A206" s="34"/>
      <c r="B206" s="8" t="s">
        <v>12</v>
      </c>
      <c r="C206" s="6">
        <f>C205+D206</f>
        <v>1551</v>
      </c>
      <c r="D206" s="9">
        <v>5</v>
      </c>
      <c r="E206" s="9">
        <v>8</v>
      </c>
      <c r="F206" s="9" t="s">
        <v>59</v>
      </c>
      <c r="G206" s="9" t="s">
        <v>46</v>
      </c>
      <c r="H206" s="35" t="s">
        <v>13</v>
      </c>
    </row>
    <row r="207" spans="1:8" s="1" customFormat="1" ht="96" x14ac:dyDescent="0.2">
      <c r="A207" s="34"/>
      <c r="B207" s="8" t="s">
        <v>14</v>
      </c>
      <c r="C207" s="9">
        <f>(E206+C206)</f>
        <v>1559</v>
      </c>
      <c r="D207" s="9">
        <v>9</v>
      </c>
      <c r="E207" s="9">
        <v>10</v>
      </c>
      <c r="F207" s="9" t="s">
        <v>59</v>
      </c>
      <c r="G207" s="9" t="s">
        <v>46</v>
      </c>
      <c r="H207" s="44" t="s">
        <v>20</v>
      </c>
    </row>
    <row r="208" spans="1:8" x14ac:dyDescent="0.2">
      <c r="A208" s="45"/>
      <c r="B208" s="23"/>
      <c r="C208" s="25"/>
      <c r="D208" s="24"/>
      <c r="E208" s="24"/>
      <c r="F208" s="24"/>
      <c r="G208" s="24"/>
      <c r="H208" s="46"/>
    </row>
    <row r="209" spans="1:8" ht="15.75" x14ac:dyDescent="0.25">
      <c r="A209" s="28"/>
      <c r="H209" s="22" t="s">
        <v>2</v>
      </c>
    </row>
    <row r="210" spans="1:8" s="10" customFormat="1" ht="15" x14ac:dyDescent="0.25">
      <c r="A210" s="34"/>
      <c r="B210" s="8" t="s">
        <v>69</v>
      </c>
      <c r="C210" s="21">
        <v>1580</v>
      </c>
      <c r="D210" s="9" t="s">
        <v>73</v>
      </c>
      <c r="E210" s="9">
        <v>1</v>
      </c>
      <c r="F210" s="9" t="s">
        <v>42</v>
      </c>
      <c r="G210" s="9" t="s">
        <v>59</v>
      </c>
      <c r="H210" s="35" t="s">
        <v>131</v>
      </c>
    </row>
    <row r="211" spans="1:8" s="10" customFormat="1" ht="25.5" x14ac:dyDescent="0.2">
      <c r="A211" s="28"/>
      <c r="B211" s="3" t="s">
        <v>67</v>
      </c>
      <c r="C211" s="6">
        <f>(E210+C210)</f>
        <v>1581</v>
      </c>
      <c r="D211" s="6">
        <v>9</v>
      </c>
      <c r="E211" s="6">
        <v>8</v>
      </c>
      <c r="F211" s="9" t="s">
        <v>42</v>
      </c>
      <c r="G211" s="9" t="s">
        <v>59</v>
      </c>
      <c r="H211" s="16" t="s">
        <v>23</v>
      </c>
    </row>
    <row r="212" spans="1:8" ht="96" customHeight="1" x14ac:dyDescent="0.2">
      <c r="A212" s="108" t="s">
        <v>140</v>
      </c>
      <c r="B212" s="109"/>
      <c r="C212" s="110"/>
      <c r="D212" s="107" t="s">
        <v>148</v>
      </c>
      <c r="E212" s="107"/>
      <c r="F212" s="107"/>
      <c r="G212" s="107"/>
      <c r="H212" s="103" t="s">
        <v>162</v>
      </c>
    </row>
    <row r="213" spans="1:8" ht="84" customHeight="1" x14ac:dyDescent="0.2">
      <c r="A213" s="111" t="s">
        <v>101</v>
      </c>
      <c r="B213" s="107"/>
      <c r="C213" s="107"/>
      <c r="D213" s="107" t="s">
        <v>116</v>
      </c>
      <c r="E213" s="107"/>
      <c r="F213" s="107"/>
      <c r="G213" s="107"/>
      <c r="H213" s="103" t="s">
        <v>161</v>
      </c>
    </row>
    <row r="214" spans="1:8" ht="36" x14ac:dyDescent="0.2">
      <c r="A214" s="34"/>
      <c r="B214" s="8" t="s">
        <v>70</v>
      </c>
      <c r="C214" s="9">
        <f>(E211+C211)</f>
        <v>1589</v>
      </c>
      <c r="D214" s="9" t="s">
        <v>73</v>
      </c>
      <c r="E214" s="9">
        <v>2</v>
      </c>
      <c r="F214" s="9" t="s">
        <v>42</v>
      </c>
      <c r="G214" s="9" t="s">
        <v>59</v>
      </c>
      <c r="H214" s="144" t="s">
        <v>211</v>
      </c>
    </row>
    <row r="215" spans="1:8" ht="51" x14ac:dyDescent="0.2">
      <c r="A215" s="34"/>
      <c r="B215" s="8" t="s">
        <v>71</v>
      </c>
      <c r="C215" s="9">
        <f>(E214+C214)</f>
        <v>1591</v>
      </c>
      <c r="D215" s="9" t="s">
        <v>73</v>
      </c>
      <c r="E215" s="9">
        <v>10</v>
      </c>
      <c r="F215" s="9" t="s">
        <v>42</v>
      </c>
      <c r="G215" s="9" t="s">
        <v>59</v>
      </c>
      <c r="H215" s="35" t="s">
        <v>6</v>
      </c>
    </row>
    <row r="216" spans="1:8" ht="24" x14ac:dyDescent="0.2">
      <c r="A216" s="28"/>
      <c r="B216" s="3" t="s">
        <v>72</v>
      </c>
      <c r="C216" s="6">
        <f>(E215+C215)</f>
        <v>1601</v>
      </c>
      <c r="D216" s="6" t="s">
        <v>73</v>
      </c>
      <c r="E216" s="6">
        <v>1</v>
      </c>
      <c r="F216" s="9" t="s">
        <v>42</v>
      </c>
      <c r="G216" s="9" t="s">
        <v>59</v>
      </c>
      <c r="H216" s="43" t="s">
        <v>139</v>
      </c>
    </row>
    <row r="217" spans="1:8" x14ac:dyDescent="0.2">
      <c r="A217" s="45"/>
      <c r="B217" s="23"/>
      <c r="C217" s="25"/>
      <c r="D217" s="24"/>
      <c r="E217" s="24"/>
      <c r="F217" s="24"/>
      <c r="G217" s="24"/>
      <c r="H217" s="46"/>
    </row>
    <row r="218" spans="1:8" ht="15.75" x14ac:dyDescent="0.25">
      <c r="A218" s="28"/>
      <c r="H218" s="22" t="s">
        <v>83</v>
      </c>
    </row>
    <row r="219" spans="1:8" s="10" customFormat="1" ht="15" x14ac:dyDescent="0.25">
      <c r="A219" s="34"/>
      <c r="B219" s="8" t="s">
        <v>69</v>
      </c>
      <c r="C219" s="21">
        <v>1635</v>
      </c>
      <c r="D219" s="9" t="s">
        <v>73</v>
      </c>
      <c r="E219" s="9">
        <v>1</v>
      </c>
      <c r="F219" s="9" t="s">
        <v>42</v>
      </c>
      <c r="G219" s="9" t="s">
        <v>59</v>
      </c>
      <c r="H219" s="35" t="s">
        <v>100</v>
      </c>
    </row>
    <row r="220" spans="1:8" s="10" customFormat="1" ht="25.5" x14ac:dyDescent="0.2">
      <c r="A220" s="28"/>
      <c r="B220" s="3" t="s">
        <v>67</v>
      </c>
      <c r="C220" s="6">
        <f>(E219+C219)</f>
        <v>1636</v>
      </c>
      <c r="D220" s="6">
        <v>9</v>
      </c>
      <c r="E220" s="6">
        <v>8</v>
      </c>
      <c r="F220" s="9" t="s">
        <v>42</v>
      </c>
      <c r="G220" s="9" t="s">
        <v>59</v>
      </c>
      <c r="H220" s="16" t="s">
        <v>23</v>
      </c>
    </row>
    <row r="221" spans="1:8" ht="96" customHeight="1" x14ac:dyDescent="0.2">
      <c r="A221" s="108" t="s">
        <v>140</v>
      </c>
      <c r="B221" s="109"/>
      <c r="C221" s="110"/>
      <c r="D221" s="107" t="s">
        <v>148</v>
      </c>
      <c r="E221" s="107"/>
      <c r="F221" s="107"/>
      <c r="G221" s="107"/>
      <c r="H221" s="103" t="s">
        <v>162</v>
      </c>
    </row>
    <row r="222" spans="1:8" ht="84" customHeight="1" x14ac:dyDescent="0.2">
      <c r="A222" s="111" t="s">
        <v>101</v>
      </c>
      <c r="B222" s="107"/>
      <c r="C222" s="107"/>
      <c r="D222" s="107" t="s">
        <v>116</v>
      </c>
      <c r="E222" s="107"/>
      <c r="F222" s="107"/>
      <c r="G222" s="107"/>
      <c r="H222" s="103" t="s">
        <v>161</v>
      </c>
    </row>
    <row r="223" spans="1:8" ht="36" x14ac:dyDescent="0.2">
      <c r="A223" s="28"/>
      <c r="B223" s="8" t="s">
        <v>70</v>
      </c>
      <c r="C223" s="9">
        <f>(E220+C220)</f>
        <v>1644</v>
      </c>
      <c r="D223" s="9" t="s">
        <v>73</v>
      </c>
      <c r="E223" s="9">
        <v>2</v>
      </c>
      <c r="F223" s="9" t="s">
        <v>42</v>
      </c>
      <c r="G223" s="9" t="s">
        <v>59</v>
      </c>
      <c r="H223" s="145" t="s">
        <v>211</v>
      </c>
    </row>
    <row r="224" spans="1:8" ht="42" x14ac:dyDescent="0.25">
      <c r="A224" s="34"/>
      <c r="B224" s="8" t="s">
        <v>71</v>
      </c>
      <c r="C224" s="9">
        <f>(E223+C223)</f>
        <v>1646</v>
      </c>
      <c r="D224" s="9" t="s">
        <v>73</v>
      </c>
      <c r="E224" s="9">
        <v>10</v>
      </c>
      <c r="F224" s="9" t="s">
        <v>42</v>
      </c>
      <c r="G224" s="9" t="s">
        <v>59</v>
      </c>
      <c r="H224" s="35" t="s">
        <v>7</v>
      </c>
    </row>
    <row r="225" spans="1:9" ht="24" x14ac:dyDescent="0.2">
      <c r="A225" s="28"/>
      <c r="B225" s="3" t="s">
        <v>72</v>
      </c>
      <c r="C225" s="6">
        <f>(E224+C224)</f>
        <v>1656</v>
      </c>
      <c r="D225" s="6" t="s">
        <v>73</v>
      </c>
      <c r="E225" s="6">
        <v>1</v>
      </c>
      <c r="F225" s="9" t="s">
        <v>42</v>
      </c>
      <c r="G225" s="9" t="s">
        <v>59</v>
      </c>
      <c r="H225" s="43" t="s">
        <v>139</v>
      </c>
    </row>
    <row r="226" spans="1:9" s="10" customFormat="1" x14ac:dyDescent="0.2">
      <c r="A226" s="37"/>
      <c r="B226" s="17"/>
      <c r="C226" s="18"/>
      <c r="D226" s="18"/>
      <c r="E226" s="18"/>
      <c r="F226" s="18"/>
      <c r="G226" s="18"/>
      <c r="H226" s="42"/>
    </row>
    <row r="227" spans="1:9" ht="15.75" x14ac:dyDescent="0.25">
      <c r="A227" s="28"/>
      <c r="H227" s="22" t="s">
        <v>132</v>
      </c>
    </row>
    <row r="228" spans="1:9" ht="15" x14ac:dyDescent="0.25">
      <c r="A228" s="34"/>
      <c r="B228" s="8" t="s">
        <v>69</v>
      </c>
      <c r="C228" s="21">
        <v>1690</v>
      </c>
      <c r="D228" s="9" t="s">
        <v>73</v>
      </c>
      <c r="E228" s="9">
        <v>1</v>
      </c>
      <c r="F228" s="9" t="s">
        <v>42</v>
      </c>
      <c r="G228" s="9" t="s">
        <v>59</v>
      </c>
      <c r="H228" s="35" t="s">
        <v>133</v>
      </c>
    </row>
    <row r="229" spans="1:9" s="10" customFormat="1" ht="25.5" x14ac:dyDescent="0.2">
      <c r="A229" s="28"/>
      <c r="B229" s="3" t="s">
        <v>67</v>
      </c>
      <c r="C229" s="6">
        <f>(E228+C228)</f>
        <v>1691</v>
      </c>
      <c r="D229" s="6">
        <v>9</v>
      </c>
      <c r="E229" s="6">
        <v>8</v>
      </c>
      <c r="F229" s="9" t="s">
        <v>42</v>
      </c>
      <c r="G229" s="9" t="s">
        <v>59</v>
      </c>
      <c r="H229" s="16" t="s">
        <v>23</v>
      </c>
    </row>
    <row r="230" spans="1:9" s="10" customFormat="1" ht="72" customHeight="1" x14ac:dyDescent="0.2">
      <c r="A230" s="108" t="s">
        <v>140</v>
      </c>
      <c r="B230" s="109"/>
      <c r="C230" s="110"/>
      <c r="D230" s="107" t="s">
        <v>148</v>
      </c>
      <c r="E230" s="107"/>
      <c r="F230" s="107"/>
      <c r="G230" s="107"/>
      <c r="H230" s="103" t="s">
        <v>162</v>
      </c>
    </row>
    <row r="231" spans="1:9" ht="96" customHeight="1" x14ac:dyDescent="0.2">
      <c r="A231" s="111" t="s">
        <v>101</v>
      </c>
      <c r="B231" s="107"/>
      <c r="C231" s="107"/>
      <c r="D231" s="107" t="s">
        <v>116</v>
      </c>
      <c r="E231" s="107"/>
      <c r="F231" s="107"/>
      <c r="G231" s="107"/>
      <c r="H231" s="103" t="s">
        <v>161</v>
      </c>
    </row>
    <row r="232" spans="1:9" ht="36" x14ac:dyDescent="0.2">
      <c r="A232" s="34"/>
      <c r="B232" s="8" t="s">
        <v>70</v>
      </c>
      <c r="C232" s="9">
        <f>(E229+C229)</f>
        <v>1699</v>
      </c>
      <c r="D232" s="9" t="s">
        <v>73</v>
      </c>
      <c r="E232" s="9">
        <v>2</v>
      </c>
      <c r="F232" s="9" t="s">
        <v>42</v>
      </c>
      <c r="G232" s="9" t="s">
        <v>59</v>
      </c>
      <c r="H232" s="146" t="s">
        <v>211</v>
      </c>
    </row>
    <row r="233" spans="1:9" ht="63" x14ac:dyDescent="0.2">
      <c r="A233" s="34"/>
      <c r="B233" s="8" t="s">
        <v>71</v>
      </c>
      <c r="C233" s="9">
        <f>(E232+C232)</f>
        <v>1701</v>
      </c>
      <c r="D233" s="9" t="s">
        <v>73</v>
      </c>
      <c r="E233" s="9">
        <v>10</v>
      </c>
      <c r="F233" s="9" t="s">
        <v>42</v>
      </c>
      <c r="G233" s="9" t="s">
        <v>59</v>
      </c>
      <c r="H233" s="35" t="s">
        <v>172</v>
      </c>
    </row>
    <row r="234" spans="1:9" ht="24" x14ac:dyDescent="0.2">
      <c r="A234" s="28"/>
      <c r="B234" s="3" t="s">
        <v>72</v>
      </c>
      <c r="C234" s="6">
        <f>(E233+C233)</f>
        <v>1711</v>
      </c>
      <c r="D234" s="6" t="s">
        <v>73</v>
      </c>
      <c r="E234" s="6">
        <v>1</v>
      </c>
      <c r="F234" s="9" t="s">
        <v>42</v>
      </c>
      <c r="G234" s="9" t="s">
        <v>59</v>
      </c>
      <c r="H234" s="43" t="s">
        <v>171</v>
      </c>
    </row>
    <row r="235" spans="1:9" ht="24" x14ac:dyDescent="0.2">
      <c r="A235" s="34"/>
      <c r="B235" s="8" t="s">
        <v>12</v>
      </c>
      <c r="C235" s="6">
        <f>C234+D235</f>
        <v>1716</v>
      </c>
      <c r="D235" s="9">
        <v>5</v>
      </c>
      <c r="E235" s="9">
        <v>8</v>
      </c>
      <c r="F235" s="9" t="s">
        <v>59</v>
      </c>
      <c r="G235" s="9" t="s">
        <v>46</v>
      </c>
      <c r="H235" s="35" t="s">
        <v>13</v>
      </c>
    </row>
    <row r="236" spans="1:9" s="1" customFormat="1" ht="96" x14ac:dyDescent="0.2">
      <c r="A236" s="34"/>
      <c r="B236" s="8" t="s">
        <v>14</v>
      </c>
      <c r="C236" s="9">
        <f>(E235+C235)</f>
        <v>1724</v>
      </c>
      <c r="D236" s="9">
        <v>9</v>
      </c>
      <c r="E236" s="9">
        <v>10</v>
      </c>
      <c r="F236" s="9" t="s">
        <v>59</v>
      </c>
      <c r="G236" s="9" t="s">
        <v>46</v>
      </c>
      <c r="H236" s="44" t="s">
        <v>19</v>
      </c>
    </row>
    <row r="237" spans="1:9" x14ac:dyDescent="0.2">
      <c r="A237" s="37"/>
      <c r="B237" s="17"/>
      <c r="C237" s="18"/>
      <c r="D237" s="18"/>
      <c r="E237" s="18"/>
      <c r="F237" s="18"/>
      <c r="G237" s="18"/>
      <c r="H237" s="42"/>
    </row>
    <row r="238" spans="1:9" ht="15.75" x14ac:dyDescent="0.25">
      <c r="A238" s="28"/>
      <c r="H238" s="22" t="s">
        <v>173</v>
      </c>
    </row>
    <row r="239" spans="1:9" ht="15" x14ac:dyDescent="0.25">
      <c r="A239" s="34"/>
      <c r="B239" s="8" t="s">
        <v>69</v>
      </c>
      <c r="C239" s="78"/>
      <c r="D239" s="9" t="s">
        <v>73</v>
      </c>
      <c r="E239" s="9">
        <v>1</v>
      </c>
      <c r="F239" s="9" t="s">
        <v>42</v>
      </c>
      <c r="G239" s="9" t="s">
        <v>59</v>
      </c>
      <c r="H239" s="35" t="s">
        <v>178</v>
      </c>
      <c r="I239" s="79" t="s">
        <v>179</v>
      </c>
    </row>
    <row r="240" spans="1:9" s="10" customFormat="1" ht="25.5" x14ac:dyDescent="0.2">
      <c r="A240" s="28"/>
      <c r="B240" s="3" t="s">
        <v>67</v>
      </c>
      <c r="C240" s="6">
        <f>(E239+C239)</f>
        <v>1</v>
      </c>
      <c r="D240" s="6">
        <v>9</v>
      </c>
      <c r="E240" s="6">
        <v>8</v>
      </c>
      <c r="F240" s="9" t="s">
        <v>42</v>
      </c>
      <c r="G240" s="9" t="s">
        <v>59</v>
      </c>
      <c r="H240" s="16" t="s">
        <v>23</v>
      </c>
    </row>
    <row r="241" spans="1:9" s="10" customFormat="1" ht="72" customHeight="1" x14ac:dyDescent="0.2">
      <c r="A241" s="108" t="s">
        <v>140</v>
      </c>
      <c r="B241" s="109"/>
      <c r="C241" s="110"/>
      <c r="D241" s="107" t="s">
        <v>148</v>
      </c>
      <c r="E241" s="107"/>
      <c r="F241" s="107"/>
      <c r="G241" s="107"/>
      <c r="H241" s="103" t="s">
        <v>162</v>
      </c>
    </row>
    <row r="242" spans="1:9" ht="96" customHeight="1" x14ac:dyDescent="0.2">
      <c r="A242" s="111" t="s">
        <v>101</v>
      </c>
      <c r="B242" s="107"/>
      <c r="C242" s="107"/>
      <c r="D242" s="107" t="s">
        <v>116</v>
      </c>
      <c r="E242" s="107"/>
      <c r="F242" s="107"/>
      <c r="G242" s="107"/>
      <c r="H242" s="103" t="s">
        <v>161</v>
      </c>
    </row>
    <row r="243" spans="1:9" ht="36" x14ac:dyDescent="0.2">
      <c r="A243" s="34"/>
      <c r="B243" s="8" t="s">
        <v>70</v>
      </c>
      <c r="C243" s="9">
        <f>(E240+C240)</f>
        <v>9</v>
      </c>
      <c r="D243" s="9" t="s">
        <v>73</v>
      </c>
      <c r="E243" s="9">
        <v>2</v>
      </c>
      <c r="F243" s="9" t="s">
        <v>42</v>
      </c>
      <c r="G243" s="9" t="s">
        <v>59</v>
      </c>
      <c r="H243" s="147" t="s">
        <v>211</v>
      </c>
    </row>
    <row r="244" spans="1:9" ht="63" x14ac:dyDescent="0.2">
      <c r="A244" s="34"/>
      <c r="B244" s="8" t="s">
        <v>71</v>
      </c>
      <c r="C244" s="9">
        <f>(E243+C243)</f>
        <v>11</v>
      </c>
      <c r="D244" s="9" t="s">
        <v>73</v>
      </c>
      <c r="E244" s="9">
        <v>10</v>
      </c>
      <c r="F244" s="9" t="s">
        <v>42</v>
      </c>
      <c r="G244" s="9" t="s">
        <v>59</v>
      </c>
      <c r="H244" s="35" t="s">
        <v>174</v>
      </c>
    </row>
    <row r="245" spans="1:9" ht="24" x14ac:dyDescent="0.2">
      <c r="A245" s="28"/>
      <c r="B245" s="3" t="s">
        <v>72</v>
      </c>
      <c r="C245" s="6">
        <f>(E244+C244)</f>
        <v>21</v>
      </c>
      <c r="D245" s="6" t="s">
        <v>73</v>
      </c>
      <c r="E245" s="6">
        <v>1</v>
      </c>
      <c r="F245" s="9" t="s">
        <v>42</v>
      </c>
      <c r="G245" s="9" t="s">
        <v>59</v>
      </c>
      <c r="H245" s="43" t="s">
        <v>171</v>
      </c>
    </row>
    <row r="246" spans="1:9" ht="24" x14ac:dyDescent="0.2">
      <c r="A246" s="34"/>
      <c r="B246" s="8" t="s">
        <v>12</v>
      </c>
      <c r="C246" s="6">
        <f>C245+D246</f>
        <v>26</v>
      </c>
      <c r="D246" s="9">
        <v>5</v>
      </c>
      <c r="E246" s="9">
        <v>8</v>
      </c>
      <c r="F246" s="9" t="s">
        <v>59</v>
      </c>
      <c r="G246" s="9" t="s">
        <v>46</v>
      </c>
      <c r="H246" s="35" t="s">
        <v>13</v>
      </c>
    </row>
    <row r="247" spans="1:9" s="1" customFormat="1" ht="96" x14ac:dyDescent="0.2">
      <c r="A247" s="34"/>
      <c r="B247" s="8" t="s">
        <v>14</v>
      </c>
      <c r="C247" s="9">
        <f>(E246+C246)</f>
        <v>34</v>
      </c>
      <c r="D247" s="9">
        <v>9</v>
      </c>
      <c r="E247" s="9">
        <v>10</v>
      </c>
      <c r="F247" s="9" t="s">
        <v>59</v>
      </c>
      <c r="G247" s="9" t="s">
        <v>46</v>
      </c>
      <c r="H247" s="44" t="s">
        <v>19</v>
      </c>
    </row>
    <row r="248" spans="1:9" x14ac:dyDescent="0.2">
      <c r="A248" s="37"/>
      <c r="B248" s="17"/>
      <c r="C248" s="18"/>
      <c r="D248" s="18"/>
      <c r="E248" s="18"/>
      <c r="F248" s="18"/>
      <c r="G248" s="18"/>
      <c r="H248" s="42"/>
    </row>
    <row r="249" spans="1:9" ht="15.75" x14ac:dyDescent="0.25">
      <c r="A249" s="28"/>
      <c r="H249" s="22" t="s">
        <v>175</v>
      </c>
    </row>
    <row r="250" spans="1:9" ht="15" x14ac:dyDescent="0.25">
      <c r="A250" s="34"/>
      <c r="B250" s="8" t="s">
        <v>69</v>
      </c>
      <c r="C250" s="78"/>
      <c r="D250" s="9" t="s">
        <v>73</v>
      </c>
      <c r="E250" s="9">
        <v>1</v>
      </c>
      <c r="F250" s="9" t="s">
        <v>42</v>
      </c>
      <c r="G250" s="9" t="s">
        <v>59</v>
      </c>
      <c r="H250" s="35" t="s">
        <v>176</v>
      </c>
      <c r="I250" s="79" t="s">
        <v>179</v>
      </c>
    </row>
    <row r="251" spans="1:9" s="10" customFormat="1" ht="25.5" x14ac:dyDescent="0.2">
      <c r="A251" s="28"/>
      <c r="B251" s="3" t="s">
        <v>67</v>
      </c>
      <c r="C251" s="6">
        <f>(E250+C250)</f>
        <v>1</v>
      </c>
      <c r="D251" s="6">
        <v>9</v>
      </c>
      <c r="E251" s="6">
        <v>8</v>
      </c>
      <c r="F251" s="9" t="s">
        <v>42</v>
      </c>
      <c r="G251" s="9" t="s">
        <v>59</v>
      </c>
      <c r="H251" s="16" t="s">
        <v>23</v>
      </c>
    </row>
    <row r="252" spans="1:9" s="10" customFormat="1" ht="72" customHeight="1" x14ac:dyDescent="0.2">
      <c r="A252" s="108" t="s">
        <v>140</v>
      </c>
      <c r="B252" s="109"/>
      <c r="C252" s="110"/>
      <c r="D252" s="107" t="s">
        <v>148</v>
      </c>
      <c r="E252" s="107"/>
      <c r="F252" s="107"/>
      <c r="G252" s="107"/>
      <c r="H252" s="103" t="s">
        <v>162</v>
      </c>
    </row>
    <row r="253" spans="1:9" ht="96" customHeight="1" x14ac:dyDescent="0.2">
      <c r="A253" s="111" t="s">
        <v>101</v>
      </c>
      <c r="B253" s="107"/>
      <c r="C253" s="107"/>
      <c r="D253" s="107" t="s">
        <v>116</v>
      </c>
      <c r="E253" s="107"/>
      <c r="F253" s="107"/>
      <c r="G253" s="107"/>
      <c r="H253" s="103" t="s">
        <v>161</v>
      </c>
    </row>
    <row r="254" spans="1:9" ht="36" x14ac:dyDescent="0.2">
      <c r="A254" s="34"/>
      <c r="B254" s="8" t="s">
        <v>70</v>
      </c>
      <c r="C254" s="9">
        <f>(E251+C251)</f>
        <v>9</v>
      </c>
      <c r="D254" s="9" t="s">
        <v>73</v>
      </c>
      <c r="E254" s="9">
        <v>2</v>
      </c>
      <c r="F254" s="9" t="s">
        <v>42</v>
      </c>
      <c r="G254" s="9" t="s">
        <v>59</v>
      </c>
      <c r="H254" s="148" t="s">
        <v>211</v>
      </c>
    </row>
    <row r="255" spans="1:9" ht="63" x14ac:dyDescent="0.2">
      <c r="A255" s="34"/>
      <c r="B255" s="8" t="s">
        <v>71</v>
      </c>
      <c r="C255" s="9">
        <f>(E254+C254)</f>
        <v>11</v>
      </c>
      <c r="D255" s="9" t="s">
        <v>73</v>
      </c>
      <c r="E255" s="9">
        <v>10</v>
      </c>
      <c r="F255" s="9" t="s">
        <v>42</v>
      </c>
      <c r="G255" s="9" t="s">
        <v>59</v>
      </c>
      <c r="H255" s="35" t="s">
        <v>177</v>
      </c>
    </row>
    <row r="256" spans="1:9" ht="24" x14ac:dyDescent="0.2">
      <c r="A256" s="28"/>
      <c r="B256" s="3" t="s">
        <v>72</v>
      </c>
      <c r="C256" s="6">
        <f>(E255+C255)</f>
        <v>21</v>
      </c>
      <c r="D256" s="6" t="s">
        <v>73</v>
      </c>
      <c r="E256" s="6">
        <v>1</v>
      </c>
      <c r="F256" s="9" t="s">
        <v>42</v>
      </c>
      <c r="G256" s="9" t="s">
        <v>59</v>
      </c>
      <c r="H256" s="43" t="s">
        <v>171</v>
      </c>
    </row>
    <row r="257" spans="1:8" ht="24" x14ac:dyDescent="0.2">
      <c r="A257" s="34"/>
      <c r="B257" s="8" t="s">
        <v>12</v>
      </c>
      <c r="C257" s="6">
        <f>C256+D257</f>
        <v>26</v>
      </c>
      <c r="D257" s="9">
        <v>5</v>
      </c>
      <c r="E257" s="9">
        <v>8</v>
      </c>
      <c r="F257" s="9" t="s">
        <v>59</v>
      </c>
      <c r="G257" s="9" t="s">
        <v>46</v>
      </c>
      <c r="H257" s="35" t="s">
        <v>13</v>
      </c>
    </row>
    <row r="258" spans="1:8" s="1" customFormat="1" ht="96" x14ac:dyDescent="0.2">
      <c r="A258" s="34"/>
      <c r="B258" s="8" t="s">
        <v>14</v>
      </c>
      <c r="C258" s="9">
        <f>(E257+C257)</f>
        <v>34</v>
      </c>
      <c r="D258" s="9">
        <v>9</v>
      </c>
      <c r="E258" s="9">
        <v>10</v>
      </c>
      <c r="F258" s="9" t="s">
        <v>59</v>
      </c>
      <c r="G258" s="9" t="s">
        <v>46</v>
      </c>
      <c r="H258" s="44" t="s">
        <v>19</v>
      </c>
    </row>
    <row r="259" spans="1:8" x14ac:dyDescent="0.2">
      <c r="A259" s="37"/>
      <c r="B259" s="17"/>
      <c r="C259" s="18"/>
      <c r="D259" s="18"/>
      <c r="E259" s="18"/>
      <c r="F259" s="18"/>
      <c r="G259" s="18"/>
      <c r="H259" s="42"/>
    </row>
    <row r="260" spans="1:8" ht="15.75" x14ac:dyDescent="0.25">
      <c r="A260" s="28"/>
      <c r="C260" s="9"/>
      <c r="H260" s="22" t="s">
        <v>134</v>
      </c>
    </row>
    <row r="261" spans="1:8" ht="15" x14ac:dyDescent="0.25">
      <c r="A261" s="34"/>
      <c r="B261" s="8" t="s">
        <v>69</v>
      </c>
      <c r="C261" s="21">
        <v>1745</v>
      </c>
      <c r="D261" s="9" t="s">
        <v>73</v>
      </c>
      <c r="E261" s="9">
        <v>1</v>
      </c>
      <c r="F261" s="9" t="s">
        <v>42</v>
      </c>
      <c r="G261" s="9" t="s">
        <v>59</v>
      </c>
      <c r="H261" s="35" t="s">
        <v>135</v>
      </c>
    </row>
    <row r="262" spans="1:8" s="10" customFormat="1" ht="25.5" x14ac:dyDescent="0.2">
      <c r="A262" s="28"/>
      <c r="B262" s="3" t="s">
        <v>67</v>
      </c>
      <c r="C262" s="6">
        <f>(E261+C261)</f>
        <v>1746</v>
      </c>
      <c r="D262" s="6">
        <v>9</v>
      </c>
      <c r="E262" s="6">
        <v>8</v>
      </c>
      <c r="F262" s="9" t="s">
        <v>42</v>
      </c>
      <c r="G262" s="9" t="s">
        <v>59</v>
      </c>
      <c r="H262" s="16" t="s">
        <v>23</v>
      </c>
    </row>
    <row r="263" spans="1:8" s="10" customFormat="1" ht="72" customHeight="1" x14ac:dyDescent="0.2">
      <c r="A263" s="108" t="s">
        <v>140</v>
      </c>
      <c r="B263" s="109"/>
      <c r="C263" s="110"/>
      <c r="D263" s="107" t="s">
        <v>148</v>
      </c>
      <c r="E263" s="107"/>
      <c r="F263" s="107"/>
      <c r="G263" s="107"/>
      <c r="H263" s="103" t="s">
        <v>162</v>
      </c>
    </row>
    <row r="264" spans="1:8" ht="72" customHeight="1" x14ac:dyDescent="0.2">
      <c r="A264" s="111" t="s">
        <v>101</v>
      </c>
      <c r="B264" s="107"/>
      <c r="C264" s="107"/>
      <c r="D264" s="107" t="s">
        <v>116</v>
      </c>
      <c r="E264" s="107"/>
      <c r="F264" s="107"/>
      <c r="G264" s="107"/>
      <c r="H264" s="103" t="s">
        <v>161</v>
      </c>
    </row>
    <row r="265" spans="1:8" ht="41.25" customHeight="1" x14ac:dyDescent="0.2">
      <c r="A265" s="28"/>
      <c r="B265" s="8" t="s">
        <v>70</v>
      </c>
      <c r="C265" s="9">
        <f>(E262+C262)</f>
        <v>1754</v>
      </c>
      <c r="D265" s="9" t="s">
        <v>73</v>
      </c>
      <c r="E265" s="9">
        <v>2</v>
      </c>
      <c r="F265" s="9" t="s">
        <v>42</v>
      </c>
      <c r="G265" s="9" t="s">
        <v>59</v>
      </c>
      <c r="H265" s="149" t="s">
        <v>211</v>
      </c>
    </row>
    <row r="266" spans="1:8" ht="51" x14ac:dyDescent="0.2">
      <c r="A266" s="34"/>
      <c r="B266" s="8" t="s">
        <v>71</v>
      </c>
      <c r="C266" s="9">
        <f>(E265+C265)</f>
        <v>1756</v>
      </c>
      <c r="D266" s="9" t="s">
        <v>73</v>
      </c>
      <c r="E266" s="9">
        <v>10</v>
      </c>
      <c r="F266" s="9" t="s">
        <v>42</v>
      </c>
      <c r="G266" s="9" t="s">
        <v>59</v>
      </c>
      <c r="H266" s="35" t="s">
        <v>0</v>
      </c>
    </row>
    <row r="267" spans="1:8" ht="24" x14ac:dyDescent="0.2">
      <c r="A267" s="34"/>
      <c r="B267" s="8" t="s">
        <v>72</v>
      </c>
      <c r="C267" s="9">
        <f>(E266+C266)</f>
        <v>1766</v>
      </c>
      <c r="D267" s="9" t="s">
        <v>73</v>
      </c>
      <c r="E267" s="9">
        <v>1</v>
      </c>
      <c r="F267" s="9" t="s">
        <v>42</v>
      </c>
      <c r="G267" s="9" t="s">
        <v>59</v>
      </c>
      <c r="H267" s="40" t="s">
        <v>139</v>
      </c>
    </row>
    <row r="268" spans="1:8" x14ac:dyDescent="0.2">
      <c r="A268" s="45"/>
      <c r="B268" s="23"/>
      <c r="C268" s="25"/>
      <c r="D268" s="24"/>
      <c r="E268" s="24"/>
      <c r="F268" s="24"/>
      <c r="G268" s="24"/>
      <c r="H268" s="46"/>
    </row>
    <row r="269" spans="1:8" s="63" customFormat="1" ht="15.75" x14ac:dyDescent="0.25">
      <c r="A269" s="60"/>
      <c r="B269" s="61"/>
      <c r="C269" s="62"/>
      <c r="D269" s="62"/>
      <c r="E269" s="62"/>
      <c r="F269" s="62"/>
      <c r="G269" s="62"/>
      <c r="H269" s="22" t="s">
        <v>136</v>
      </c>
    </row>
    <row r="270" spans="1:8" s="63" customFormat="1" ht="12.75" x14ac:dyDescent="0.2">
      <c r="A270" s="60"/>
      <c r="B270" s="64" t="s">
        <v>69</v>
      </c>
      <c r="C270" s="73">
        <v>1800</v>
      </c>
      <c r="D270" s="65" t="s">
        <v>77</v>
      </c>
      <c r="E270" s="65">
        <v>1</v>
      </c>
      <c r="F270" s="65" t="s">
        <v>42</v>
      </c>
      <c r="G270" s="65" t="s">
        <v>59</v>
      </c>
      <c r="H270" s="66" t="s">
        <v>3</v>
      </c>
    </row>
    <row r="271" spans="1:8" s="63" customFormat="1" ht="25.5" x14ac:dyDescent="0.2">
      <c r="A271" s="60"/>
      <c r="B271" s="69" t="s">
        <v>113</v>
      </c>
      <c r="C271" s="75">
        <f>C270+E270</f>
        <v>1801</v>
      </c>
      <c r="D271" s="65">
        <v>9</v>
      </c>
      <c r="E271" s="65">
        <v>8</v>
      </c>
      <c r="F271" s="65" t="s">
        <v>42</v>
      </c>
      <c r="G271" s="65" t="s">
        <v>59</v>
      </c>
      <c r="H271" s="70" t="s">
        <v>114</v>
      </c>
    </row>
    <row r="272" spans="1:8" s="63" customFormat="1" ht="87.75" customHeight="1" x14ac:dyDescent="0.2">
      <c r="A272" s="108" t="s">
        <v>140</v>
      </c>
      <c r="B272" s="109"/>
      <c r="C272" s="110"/>
      <c r="D272" s="107" t="s">
        <v>148</v>
      </c>
      <c r="E272" s="107"/>
      <c r="F272" s="107"/>
      <c r="G272" s="107"/>
      <c r="H272" s="103" t="s">
        <v>162</v>
      </c>
    </row>
    <row r="273" spans="1:8" s="63" customFormat="1" ht="84" customHeight="1" x14ac:dyDescent="0.2">
      <c r="A273" s="111" t="s">
        <v>101</v>
      </c>
      <c r="B273" s="107"/>
      <c r="C273" s="107"/>
      <c r="D273" s="107" t="s">
        <v>116</v>
      </c>
      <c r="E273" s="107"/>
      <c r="F273" s="107"/>
      <c r="G273" s="107"/>
      <c r="H273" s="103" t="s">
        <v>161</v>
      </c>
    </row>
    <row r="274" spans="1:8" s="63" customFormat="1" ht="36" x14ac:dyDescent="0.2">
      <c r="A274" s="28"/>
      <c r="B274" s="8" t="s">
        <v>70</v>
      </c>
      <c r="C274" s="9">
        <f>(E271+C271)</f>
        <v>1809</v>
      </c>
      <c r="D274" s="9" t="s">
        <v>73</v>
      </c>
      <c r="E274" s="9">
        <v>2</v>
      </c>
      <c r="F274" s="9" t="s">
        <v>42</v>
      </c>
      <c r="G274" s="9" t="s">
        <v>59</v>
      </c>
      <c r="H274" s="150" t="s">
        <v>211</v>
      </c>
    </row>
    <row r="275" spans="1:8" s="63" customFormat="1" ht="80.25" customHeight="1" x14ac:dyDescent="0.2">
      <c r="A275" s="34"/>
      <c r="B275" s="8" t="s">
        <v>71</v>
      </c>
      <c r="C275" s="9">
        <f>(E274+C274)</f>
        <v>1811</v>
      </c>
      <c r="D275" s="9" t="s">
        <v>73</v>
      </c>
      <c r="E275" s="9">
        <v>10</v>
      </c>
      <c r="F275" s="9" t="s">
        <v>42</v>
      </c>
      <c r="G275" s="9" t="s">
        <v>59</v>
      </c>
      <c r="H275" s="35" t="s">
        <v>1</v>
      </c>
    </row>
    <row r="276" spans="1:8" ht="72" x14ac:dyDescent="0.2">
      <c r="A276" s="28"/>
      <c r="B276" s="3" t="s">
        <v>72</v>
      </c>
      <c r="C276" s="6">
        <f>(E275+C275)</f>
        <v>1821</v>
      </c>
      <c r="D276" s="6" t="s">
        <v>73</v>
      </c>
      <c r="E276" s="6">
        <v>1</v>
      </c>
      <c r="F276" s="9" t="s">
        <v>42</v>
      </c>
      <c r="G276" s="9" t="s">
        <v>59</v>
      </c>
      <c r="H276" s="71" t="s">
        <v>141</v>
      </c>
    </row>
    <row r="277" spans="1:8" x14ac:dyDescent="0.2">
      <c r="A277" s="52"/>
      <c r="B277" s="52"/>
      <c r="C277" s="53"/>
      <c r="D277" s="53"/>
      <c r="E277" s="53"/>
      <c r="F277" s="53"/>
      <c r="G277" s="53"/>
      <c r="H277" s="74"/>
    </row>
    <row r="278" spans="1:8" s="63" customFormat="1" ht="15.75" x14ac:dyDescent="0.25">
      <c r="A278" s="60"/>
      <c r="B278" s="61"/>
      <c r="C278" s="62"/>
      <c r="D278" s="62"/>
      <c r="E278" s="62"/>
      <c r="F278" s="62"/>
      <c r="G278" s="62"/>
      <c r="H278" s="22" t="s">
        <v>129</v>
      </c>
    </row>
    <row r="279" spans="1:8" s="63" customFormat="1" ht="15" x14ac:dyDescent="0.25">
      <c r="A279" s="60"/>
      <c r="B279" s="64" t="s">
        <v>69</v>
      </c>
      <c r="C279" s="73">
        <v>1855</v>
      </c>
      <c r="D279" s="65" t="s">
        <v>77</v>
      </c>
      <c r="E279" s="65">
        <v>1</v>
      </c>
      <c r="F279" s="65" t="s">
        <v>42</v>
      </c>
      <c r="G279" s="65" t="s">
        <v>59</v>
      </c>
      <c r="H279" s="66" t="s">
        <v>130</v>
      </c>
    </row>
    <row r="280" spans="1:8" s="63" customFormat="1" ht="25.5" x14ac:dyDescent="0.2">
      <c r="A280" s="60"/>
      <c r="B280" s="69" t="s">
        <v>113</v>
      </c>
      <c r="C280" s="75">
        <v>1855</v>
      </c>
      <c r="D280" s="65">
        <v>9</v>
      </c>
      <c r="E280" s="65">
        <v>8</v>
      </c>
      <c r="F280" s="65" t="s">
        <v>42</v>
      </c>
      <c r="G280" s="65" t="s">
        <v>59</v>
      </c>
      <c r="H280" s="70" t="s">
        <v>114</v>
      </c>
    </row>
    <row r="281" spans="1:8" s="63" customFormat="1" ht="87.75" customHeight="1" x14ac:dyDescent="0.2">
      <c r="A281" s="108" t="s">
        <v>140</v>
      </c>
      <c r="B281" s="109"/>
      <c r="C281" s="110"/>
      <c r="D281" s="107" t="s">
        <v>148</v>
      </c>
      <c r="E281" s="107"/>
      <c r="F281" s="107"/>
      <c r="G281" s="107"/>
      <c r="H281" s="103" t="s">
        <v>162</v>
      </c>
    </row>
    <row r="282" spans="1:8" s="63" customFormat="1" ht="84" customHeight="1" x14ac:dyDescent="0.2">
      <c r="A282" s="111" t="s">
        <v>101</v>
      </c>
      <c r="B282" s="107"/>
      <c r="C282" s="107"/>
      <c r="D282" s="107" t="s">
        <v>116</v>
      </c>
      <c r="E282" s="107"/>
      <c r="F282" s="107"/>
      <c r="G282" s="107"/>
      <c r="H282" s="103" t="s">
        <v>161</v>
      </c>
    </row>
    <row r="283" spans="1:8" s="63" customFormat="1" ht="48" x14ac:dyDescent="0.2">
      <c r="A283" s="28"/>
      <c r="B283" s="8" t="s">
        <v>70</v>
      </c>
      <c r="C283" s="9">
        <f>(E280+C280)</f>
        <v>1863</v>
      </c>
      <c r="D283" s="9" t="s">
        <v>73</v>
      </c>
      <c r="E283" s="9">
        <v>2</v>
      </c>
      <c r="F283" s="9" t="s">
        <v>42</v>
      </c>
      <c r="G283" s="9" t="s">
        <v>59</v>
      </c>
      <c r="H283" s="41" t="s">
        <v>8</v>
      </c>
    </row>
    <row r="284" spans="1:8" s="63" customFormat="1" ht="54" x14ac:dyDescent="0.25">
      <c r="A284" s="34"/>
      <c r="B284" s="8" t="s">
        <v>71</v>
      </c>
      <c r="C284" s="9">
        <f>(E283+C283)</f>
        <v>1865</v>
      </c>
      <c r="D284" s="9" t="s">
        <v>73</v>
      </c>
      <c r="E284" s="9">
        <v>10</v>
      </c>
      <c r="F284" s="9" t="s">
        <v>42</v>
      </c>
      <c r="G284" s="9" t="s">
        <v>59</v>
      </c>
      <c r="H284" s="35" t="s">
        <v>9</v>
      </c>
    </row>
    <row r="285" spans="1:8" ht="72" x14ac:dyDescent="0.2">
      <c r="A285" s="28"/>
      <c r="B285" s="3" t="s">
        <v>72</v>
      </c>
      <c r="C285" s="6">
        <f>(E284+C284)</f>
        <v>1875</v>
      </c>
      <c r="D285" s="6" t="s">
        <v>73</v>
      </c>
      <c r="E285" s="6">
        <v>1</v>
      </c>
      <c r="F285" s="9" t="s">
        <v>42</v>
      </c>
      <c r="G285" s="9" t="s">
        <v>59</v>
      </c>
      <c r="H285" s="71" t="s">
        <v>10</v>
      </c>
    </row>
    <row r="286" spans="1:8" x14ac:dyDescent="0.2">
      <c r="A286" s="52"/>
      <c r="B286" s="52"/>
      <c r="C286" s="53"/>
      <c r="D286" s="53"/>
      <c r="E286" s="53"/>
      <c r="F286" s="53"/>
      <c r="G286" s="53"/>
      <c r="H286" s="74"/>
    </row>
  </sheetData>
  <customSheetViews>
    <customSheetView guid="{AD4FF8DE-EDA5-4061-B66F-8CBE9BBAAE25}" showPageBreaks="1" view="pageBreakPreview" showRuler="0" topLeftCell="B97">
      <selection activeCell="E111" sqref="E111"/>
      <pageMargins left="0.75" right="0.75" top="1" bottom="1" header="0.5" footer="0.5"/>
      <pageSetup scale="91" orientation="landscape" r:id="rId1"/>
      <headerFooter alignWithMargins="0"/>
    </customSheetView>
    <customSheetView guid="{F1F6759E-B09B-4BA9-A1D7-5F55C7AD0E9D}" showPageBreaks="1" showRuler="0" topLeftCell="B57">
      <selection activeCell="B70" sqref="B70"/>
      <pageMargins left="0.5" right="0" top="0.5" bottom="0.5" header="0.25" footer="0.25"/>
      <pageSetup scale="95" orientation="landscape" r:id="rId2"/>
      <headerFooter alignWithMargins="0">
        <oddFooter>Page &amp;P of &amp;N</oddFooter>
      </headerFooter>
    </customSheetView>
    <customSheetView guid="{28CFDFB3-ADB4-46A7-9CC7-9426DBCF700E}" showRuler="0" topLeftCell="B42">
      <selection activeCell="H48" sqref="H48"/>
      <pageMargins left="0.75" right="0.75" top="1" bottom="1" header="0.5" footer="0.5"/>
      <pageSetup orientation="landscape" r:id="rId3"/>
      <headerFooter alignWithMargins="0"/>
    </customSheetView>
  </customSheetViews>
  <mergeCells count="127">
    <mergeCell ref="IO1:IV1"/>
    <mergeCell ref="A139:C139"/>
    <mergeCell ref="DY1:EF1"/>
    <mergeCell ref="EG1:EN1"/>
    <mergeCell ref="CC1:CJ1"/>
    <mergeCell ref="CK1:CR1"/>
    <mergeCell ref="CS1:CZ1"/>
    <mergeCell ref="FE1:FL1"/>
    <mergeCell ref="FM1:FT1"/>
    <mergeCell ref="FU1:GB1"/>
    <mergeCell ref="HQ1:HX1"/>
    <mergeCell ref="HY1:IF1"/>
    <mergeCell ref="IG1:IN1"/>
    <mergeCell ref="GC1:GJ1"/>
    <mergeCell ref="HA1:HH1"/>
    <mergeCell ref="HI1:HP1"/>
    <mergeCell ref="GK1:GR1"/>
    <mergeCell ref="GS1:GZ1"/>
    <mergeCell ref="BM1:BT1"/>
    <mergeCell ref="BU1:CB1"/>
    <mergeCell ref="AG1:AN1"/>
    <mergeCell ref="D97:G97"/>
    <mergeCell ref="A117:C117"/>
    <mergeCell ref="A128:C128"/>
    <mergeCell ref="A3:C3"/>
    <mergeCell ref="D3:G3"/>
    <mergeCell ref="EW1:FD1"/>
    <mergeCell ref="DA1:DH1"/>
    <mergeCell ref="DI1:DP1"/>
    <mergeCell ref="DQ1:DX1"/>
    <mergeCell ref="EO1:EV1"/>
    <mergeCell ref="Q1:X1"/>
    <mergeCell ref="Y1:AF1"/>
    <mergeCell ref="A1:H1"/>
    <mergeCell ref="A2:H2"/>
    <mergeCell ref="D150:G150"/>
    <mergeCell ref="D162:G162"/>
    <mergeCell ref="A161:C161"/>
    <mergeCell ref="D161:G161"/>
    <mergeCell ref="A172:C172"/>
    <mergeCell ref="D172:G172"/>
    <mergeCell ref="AW1:BD1"/>
    <mergeCell ref="BE1:BL1"/>
    <mergeCell ref="D106:G106"/>
    <mergeCell ref="D107:G107"/>
    <mergeCell ref="AO1:AV1"/>
    <mergeCell ref="D89:G89"/>
    <mergeCell ref="I1:P1"/>
    <mergeCell ref="A89:C89"/>
    <mergeCell ref="A129:C129"/>
    <mergeCell ref="A150:C150"/>
    <mergeCell ref="A151:C151"/>
    <mergeCell ref="D151:G151"/>
    <mergeCell ref="D139:G139"/>
    <mergeCell ref="A140:C140"/>
    <mergeCell ref="D140:G140"/>
    <mergeCell ref="A106:C106"/>
    <mergeCell ref="D98:G98"/>
    <mergeCell ref="A98:C98"/>
    <mergeCell ref="A107:C107"/>
    <mergeCell ref="D128:G128"/>
    <mergeCell ref="A80:C80"/>
    <mergeCell ref="D80:G80"/>
    <mergeCell ref="D117:G117"/>
    <mergeCell ref="A97:C97"/>
    <mergeCell ref="D129:G129"/>
    <mergeCell ref="A118:C118"/>
    <mergeCell ref="D118:G118"/>
    <mergeCell ref="A70:C70"/>
    <mergeCell ref="D70:G70"/>
    <mergeCell ref="A88:C88"/>
    <mergeCell ref="D88:G88"/>
    <mergeCell ref="D79:G79"/>
    <mergeCell ref="D62:G62"/>
    <mergeCell ref="D61:G61"/>
    <mergeCell ref="A71:C71"/>
    <mergeCell ref="D71:G71"/>
    <mergeCell ref="A79:C79"/>
    <mergeCell ref="A61:C61"/>
    <mergeCell ref="A62:C62"/>
    <mergeCell ref="A252:C252"/>
    <mergeCell ref="D252:G252"/>
    <mergeCell ref="A253:C253"/>
    <mergeCell ref="D253:G253"/>
    <mergeCell ref="A162:C162"/>
    <mergeCell ref="A231:C231"/>
    <mergeCell ref="A190:C190"/>
    <mergeCell ref="D190:G190"/>
    <mergeCell ref="A191:C191"/>
    <mergeCell ref="D191:G191"/>
    <mergeCell ref="D173:G173"/>
    <mergeCell ref="A221:C221"/>
    <mergeCell ref="A173:C173"/>
    <mergeCell ref="A212:C212"/>
    <mergeCell ref="D212:G212"/>
    <mergeCell ref="A213:C213"/>
    <mergeCell ref="D213:G213"/>
    <mergeCell ref="D221:G221"/>
    <mergeCell ref="A230:C230"/>
    <mergeCell ref="D230:G230"/>
    <mergeCell ref="A201:C201"/>
    <mergeCell ref="D201:G201"/>
    <mergeCell ref="A202:C202"/>
    <mergeCell ref="D202:G202"/>
    <mergeCell ref="D231:G231"/>
    <mergeCell ref="D222:G222"/>
    <mergeCell ref="A181:C181"/>
    <mergeCell ref="D181:G181"/>
    <mergeCell ref="A182:C182"/>
    <mergeCell ref="D182:G182"/>
    <mergeCell ref="A241:C241"/>
    <mergeCell ref="D241:G241"/>
    <mergeCell ref="A242:C242"/>
    <mergeCell ref="D242:G242"/>
    <mergeCell ref="A222:C222"/>
    <mergeCell ref="D281:G281"/>
    <mergeCell ref="D273:G273"/>
    <mergeCell ref="A263:C263"/>
    <mergeCell ref="D263:G263"/>
    <mergeCell ref="A264:C264"/>
    <mergeCell ref="D264:G264"/>
    <mergeCell ref="D282:G282"/>
    <mergeCell ref="D272:G272"/>
    <mergeCell ref="A272:C272"/>
    <mergeCell ref="A273:C273"/>
    <mergeCell ref="A281:C281"/>
    <mergeCell ref="A282:C282"/>
  </mergeCells>
  <pageMargins left="0.25" right="0.25" top="0.75" bottom="0.25" header="0.5" footer="0.5"/>
  <pageSetup scale="86" orientation="landscape" r:id="rId4"/>
  <headerFooter alignWithMargins="0">
    <oddHeader>&amp;C&amp;P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File Specs</vt:lpstr>
      <vt:lpstr>'File Specs'!Print_Area</vt:lpstr>
      <vt:lpstr>'File Specs'!Print_Titles</vt:lpstr>
    </vt:vector>
  </TitlesOfParts>
  <Company>Mutual of Omaha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Nancy Barrett</dc:creator>
  <cp:lastModifiedBy>Revense, Joseph</cp:lastModifiedBy>
  <cp:lastPrinted>2015-04-17T14:55:40Z</cp:lastPrinted>
  <dcterms:created xsi:type="dcterms:W3CDTF">2008-06-27T18:34:48Z</dcterms:created>
  <dcterms:modified xsi:type="dcterms:W3CDTF">2017-05-19T12:27:37Z</dcterms:modified>
</cp:coreProperties>
</file>